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myoffice.accenture.com/personal/wiliam_de_salvatore_accenture_com/Documents/Desktop/Matrici WIND Dealer/ROLLING/new wfm/"/>
    </mc:Choice>
  </mc:AlternateContent>
  <xr:revisionPtr revIDLastSave="405" documentId="8_{233DF4F6-7921-45A6-97F2-9F9F4D6AFAC6}" xr6:coauthVersionLast="47" xr6:coauthVersionMax="47" xr10:uidLastSave="{C0EA2CF6-5EFB-4F49-8C18-658FD70F86DE}"/>
  <bookViews>
    <workbookView xWindow="-120" yWindow="-120" windowWidth="29040" windowHeight="17520" activeTab="2" xr2:uid="{00000000-000D-0000-FFFF-FFFF00000000}"/>
  </bookViews>
  <sheets>
    <sheet name="config" sheetId="567" r:id="rId1"/>
    <sheet name="Requisiti_dc" sheetId="132" r:id="rId2"/>
    <sheet name="Requisiti_ps" sheetId="568" r:id="rId3"/>
    <sheet name="Requisiti_cmb" sheetId="569" r:id="rId4"/>
    <sheet name="Requisiti_psbo" sheetId="570" r:id="rId5"/>
    <sheet name="Turni" sheetId="1" r:id="rId6"/>
    <sheet name="Risorse" sheetId="3" r:id="rId7"/>
    <sheet name="storico" sheetId="566" r:id="rId8"/>
    <sheet name="settimana" sheetId="530" r:id="rId9"/>
    <sheet name="istru" sheetId="76" state="hidden" r:id="rId10"/>
    <sheet name="Foglio12" sheetId="128" state="hidden" r:id="rId11"/>
  </sheets>
  <definedNames>
    <definedName name="_xlnm._FilterDatabase" localSheetId="6" hidden="1">Risorse!$A$1:$AY$83</definedName>
    <definedName name="_xlnm._FilterDatabase" localSheetId="7" hidden="1">storico!$A$2:$AM$81</definedName>
    <definedName name="_xlnm._FilterDatabase" localSheetId="5" hidden="1">Turni!$A$1:$F$101</definedName>
    <definedName name="solver_adj" localSheetId="3" hidden="1">Requisiti_cmb!$B$2:$B$89</definedName>
    <definedName name="solver_adj" localSheetId="1" hidden="1">Requisiti_dc!$B$2:$B$89</definedName>
    <definedName name="solver_adj" localSheetId="2" hidden="1">Requisiti_ps!$B$2:$B$89</definedName>
    <definedName name="solver_adj" localSheetId="4" hidden="1">Requisiti_psbo!$B$2:$B$89</definedName>
    <definedName name="solver_eng" localSheetId="3" hidden="1">1</definedName>
    <definedName name="solver_eng" localSheetId="1" hidden="1">1</definedName>
    <definedName name="solver_eng" localSheetId="2" hidden="1">1</definedName>
    <definedName name="solver_eng" localSheetId="4" hidden="1">1</definedName>
    <definedName name="solver_lhs1" localSheetId="3" hidden="1">Requisiti_cmb!$B$91</definedName>
    <definedName name="solver_lhs1" localSheetId="1" hidden="1">Requisiti_dc!$B$91</definedName>
    <definedName name="solver_lhs1" localSheetId="2" hidden="1">Requisiti_ps!$B$91</definedName>
    <definedName name="solver_lhs1" localSheetId="4" hidden="1">Requisiti_psbo!$B$91</definedName>
    <definedName name="solver_lhs10" localSheetId="3" hidden="1">Requisiti_cmb!$B$100</definedName>
    <definedName name="solver_lhs10" localSheetId="1" hidden="1">Requisiti_dc!$B$100</definedName>
    <definedName name="solver_lhs10" localSheetId="2" hidden="1">Requisiti_ps!$B$100</definedName>
    <definedName name="solver_lhs10" localSheetId="4" hidden="1">Requisiti_psbo!$B$100</definedName>
    <definedName name="solver_lhs11" localSheetId="3" hidden="1">Requisiti_cmb!$B$101</definedName>
    <definedName name="solver_lhs11" localSheetId="1" hidden="1">Requisiti_dc!$B$101</definedName>
    <definedName name="solver_lhs11" localSheetId="2" hidden="1">Requisiti_ps!$B$101</definedName>
    <definedName name="solver_lhs11" localSheetId="4" hidden="1">Requisiti_psbo!$B$101</definedName>
    <definedName name="solver_lhs12" localSheetId="3" hidden="1">Requisiti_cmb!$B$102</definedName>
    <definedName name="solver_lhs12" localSheetId="1" hidden="1">Requisiti_dc!$B$102</definedName>
    <definedName name="solver_lhs12" localSheetId="2" hidden="1">Requisiti_ps!$B$102</definedName>
    <definedName name="solver_lhs12" localSheetId="4" hidden="1">Requisiti_psbo!$B$102</definedName>
    <definedName name="solver_lhs13" localSheetId="3" hidden="1">Requisiti_cmb!$B$103</definedName>
    <definedName name="solver_lhs13" localSheetId="1" hidden="1">Requisiti_dc!$B$103</definedName>
    <definedName name="solver_lhs13" localSheetId="2" hidden="1">Requisiti_ps!$B$103</definedName>
    <definedName name="solver_lhs13" localSheetId="4" hidden="1">Requisiti_psbo!$B$103</definedName>
    <definedName name="solver_lhs14" localSheetId="3" hidden="1">Requisiti_cmb!$B$104</definedName>
    <definedName name="solver_lhs14" localSheetId="1" hidden="1">Requisiti_dc!$B$104</definedName>
    <definedName name="solver_lhs14" localSheetId="2" hidden="1">Requisiti_ps!$B$104</definedName>
    <definedName name="solver_lhs14" localSheetId="4" hidden="1">Requisiti_psbo!$B$104</definedName>
    <definedName name="solver_lhs15" localSheetId="3" hidden="1">Requisiti_cmb!$B$105</definedName>
    <definedName name="solver_lhs15" localSheetId="1" hidden="1">Requisiti_dc!$B$105</definedName>
    <definedName name="solver_lhs15" localSheetId="2" hidden="1">Requisiti_ps!$B$105</definedName>
    <definedName name="solver_lhs15" localSheetId="4" hidden="1">Requisiti_psbo!$B$105</definedName>
    <definedName name="solver_lhs16" localSheetId="3" hidden="1">Requisiti_cmb!$B$106</definedName>
    <definedName name="solver_lhs16" localSheetId="1" hidden="1">Requisiti_dc!$B$106</definedName>
    <definedName name="solver_lhs16" localSheetId="2" hidden="1">Requisiti_ps!$B$106</definedName>
    <definedName name="solver_lhs16" localSheetId="4" hidden="1">Requisiti_psbo!$B$106</definedName>
    <definedName name="solver_lhs17" localSheetId="3" hidden="1">Requisiti_cmb!$B$107</definedName>
    <definedName name="solver_lhs17" localSheetId="1" hidden="1">Requisiti_dc!$B$107</definedName>
    <definedName name="solver_lhs17" localSheetId="2" hidden="1">Requisiti_ps!$B$107</definedName>
    <definedName name="solver_lhs17" localSheetId="4" hidden="1">Requisiti_psbo!$B$107</definedName>
    <definedName name="solver_lhs18" localSheetId="3" hidden="1">Requisiti_cmb!$B$108</definedName>
    <definedName name="solver_lhs18" localSheetId="1" hidden="1">Requisiti_dc!$B$108</definedName>
    <definedName name="solver_lhs18" localSheetId="2" hidden="1">Requisiti_ps!$B$108</definedName>
    <definedName name="solver_lhs18" localSheetId="4" hidden="1">Requisiti_psbo!$B$108</definedName>
    <definedName name="solver_lhs19" localSheetId="3" hidden="1">Requisiti_cmb!$B$109</definedName>
    <definedName name="solver_lhs19" localSheetId="1" hidden="1">Requisiti_dc!$B$109</definedName>
    <definedName name="solver_lhs19" localSheetId="2" hidden="1">Requisiti_ps!$B$109</definedName>
    <definedName name="solver_lhs19" localSheetId="4" hidden="1">Requisiti_psbo!$B$109</definedName>
    <definedName name="solver_lhs2" localSheetId="3" hidden="1">Requisiti_cmb!$B$92</definedName>
    <definedName name="solver_lhs2" localSheetId="1" hidden="1">Requisiti_dc!$B$92</definedName>
    <definedName name="solver_lhs2" localSheetId="2" hidden="1">Requisiti_ps!$B$92</definedName>
    <definedName name="solver_lhs2" localSheetId="4" hidden="1">Requisiti_psbo!$B$92</definedName>
    <definedName name="solver_lhs20" localSheetId="3" hidden="1">Requisiti_cmb!$B$110</definedName>
    <definedName name="solver_lhs20" localSheetId="1" hidden="1">Requisiti_dc!$B$110</definedName>
    <definedName name="solver_lhs20" localSheetId="2" hidden="1">Requisiti_ps!$B$110</definedName>
    <definedName name="solver_lhs20" localSheetId="4" hidden="1">Requisiti_psbo!$B$110</definedName>
    <definedName name="solver_lhs21" localSheetId="3" hidden="1">Requisiti_cmb!$B$111</definedName>
    <definedName name="solver_lhs21" localSheetId="1" hidden="1">Requisiti_dc!$B$111</definedName>
    <definedName name="solver_lhs21" localSheetId="2" hidden="1">Requisiti_ps!$B$111</definedName>
    <definedName name="solver_lhs21" localSheetId="4" hidden="1">Requisiti_psbo!$B$111</definedName>
    <definedName name="solver_lhs22" localSheetId="3" hidden="1">Requisiti_cmb!$B$112</definedName>
    <definedName name="solver_lhs22" localSheetId="1" hidden="1">Requisiti_dc!$B$112</definedName>
    <definedName name="solver_lhs22" localSheetId="2" hidden="1">Requisiti_ps!$B$112</definedName>
    <definedName name="solver_lhs22" localSheetId="4" hidden="1">Requisiti_psbo!$B$112</definedName>
    <definedName name="solver_lhs23" localSheetId="3" hidden="1">Requisiti_cmb!$B$113</definedName>
    <definedName name="solver_lhs23" localSheetId="1" hidden="1">Requisiti_dc!$B$113</definedName>
    <definedName name="solver_lhs23" localSheetId="2" hidden="1">Requisiti_ps!$B$113</definedName>
    <definedName name="solver_lhs23" localSheetId="4" hidden="1">Requisiti_psbo!$B$113</definedName>
    <definedName name="solver_lhs24" localSheetId="3" hidden="1">Requisiti_cmb!$B$114</definedName>
    <definedName name="solver_lhs24" localSheetId="1" hidden="1">Requisiti_dc!$B$114</definedName>
    <definedName name="solver_lhs24" localSheetId="2" hidden="1">Requisiti_ps!$B$114</definedName>
    <definedName name="solver_lhs24" localSheetId="4" hidden="1">Requisiti_psbo!$B$114</definedName>
    <definedName name="solver_lhs25" localSheetId="3" hidden="1">Requisiti_cmb!$B$115</definedName>
    <definedName name="solver_lhs25" localSheetId="1" hidden="1">Requisiti_dc!$B$115</definedName>
    <definedName name="solver_lhs25" localSheetId="2" hidden="1">Requisiti_ps!$B$115</definedName>
    <definedName name="solver_lhs25" localSheetId="4" hidden="1">Requisiti_psbo!$B$115</definedName>
    <definedName name="solver_lhs26" localSheetId="3" hidden="1">Requisiti_cmb!$B$116</definedName>
    <definedName name="solver_lhs26" localSheetId="1" hidden="1">Requisiti_dc!$B$116</definedName>
    <definedName name="solver_lhs26" localSheetId="2" hidden="1">Requisiti_ps!$B$116</definedName>
    <definedName name="solver_lhs26" localSheetId="4" hidden="1">Requisiti_psbo!$B$116</definedName>
    <definedName name="solver_lhs27" localSheetId="3" hidden="1">Requisiti_cmb!$B$117</definedName>
    <definedName name="solver_lhs27" localSheetId="1" hidden="1">Requisiti_dc!$B$117</definedName>
    <definedName name="solver_lhs27" localSheetId="2" hidden="1">Requisiti_ps!$B$117</definedName>
    <definedName name="solver_lhs27" localSheetId="4" hidden="1">Requisiti_psbo!$B$117</definedName>
    <definedName name="solver_lhs28" localSheetId="3" hidden="1">Requisiti_cmb!$B$118</definedName>
    <definedName name="solver_lhs28" localSheetId="1" hidden="1">Requisiti_dc!$B$118</definedName>
    <definedName name="solver_lhs28" localSheetId="2" hidden="1">Requisiti_ps!$B$118</definedName>
    <definedName name="solver_lhs28" localSheetId="4" hidden="1">Requisiti_psbo!$B$118</definedName>
    <definedName name="solver_lhs29" localSheetId="3" hidden="1">Requisiti_cmb!$B$119</definedName>
    <definedName name="solver_lhs29" localSheetId="1" hidden="1">Requisiti_dc!$B$119</definedName>
    <definedName name="solver_lhs29" localSheetId="2" hidden="1">Requisiti_ps!$B$119</definedName>
    <definedName name="solver_lhs29" localSheetId="4" hidden="1">Requisiti_psbo!$B$119</definedName>
    <definedName name="solver_lhs3" localSheetId="3" hidden="1">Requisiti_cmb!$B$93</definedName>
    <definedName name="solver_lhs3" localSheetId="1" hidden="1">Requisiti_dc!$B$93</definedName>
    <definedName name="solver_lhs3" localSheetId="2" hidden="1">Requisiti_ps!$B$93</definedName>
    <definedName name="solver_lhs3" localSheetId="4" hidden="1">Requisiti_psbo!$B$93</definedName>
    <definedName name="solver_lhs30" localSheetId="3" hidden="1">Requisiti_cmb!$B$120</definedName>
    <definedName name="solver_lhs30" localSheetId="1" hidden="1">Requisiti_dc!$B$120</definedName>
    <definedName name="solver_lhs30" localSheetId="2" hidden="1">Requisiti_ps!$B$120</definedName>
    <definedName name="solver_lhs30" localSheetId="4" hidden="1">Requisiti_psbo!$B$120</definedName>
    <definedName name="solver_lhs31" localSheetId="3" hidden="1">Requisiti_cmb!$B$121</definedName>
    <definedName name="solver_lhs31" localSheetId="1" hidden="1">Requisiti_dc!$B$121</definedName>
    <definedName name="solver_lhs31" localSheetId="2" hidden="1">Requisiti_ps!$B$121</definedName>
    <definedName name="solver_lhs31" localSheetId="4" hidden="1">Requisiti_psbo!$B$121</definedName>
    <definedName name="solver_lhs32" localSheetId="3" hidden="1">Requisiti_cmb!$B$122</definedName>
    <definedName name="solver_lhs32" localSheetId="1" hidden="1">Requisiti_dc!$B$122</definedName>
    <definedName name="solver_lhs32" localSheetId="2" hidden="1">Requisiti_ps!$B$122</definedName>
    <definedName name="solver_lhs32" localSheetId="4" hidden="1">Requisiti_psbo!$B$122</definedName>
    <definedName name="solver_lhs33" localSheetId="3" hidden="1">Requisiti_cmb!$B$123</definedName>
    <definedName name="solver_lhs33" localSheetId="1" hidden="1">Requisiti_dc!$B$123</definedName>
    <definedName name="solver_lhs33" localSheetId="2" hidden="1">Requisiti_ps!$B$123</definedName>
    <definedName name="solver_lhs33" localSheetId="4" hidden="1">Requisiti_psbo!$B$123</definedName>
    <definedName name="solver_lhs34" localSheetId="3" hidden="1">Requisiti_cmb!$B$124</definedName>
    <definedName name="solver_lhs34" localSheetId="1" hidden="1">Requisiti_dc!$B$124</definedName>
    <definedName name="solver_lhs34" localSheetId="2" hidden="1">Requisiti_ps!$B$124</definedName>
    <definedName name="solver_lhs34" localSheetId="4" hidden="1">Requisiti_psbo!$B$124</definedName>
    <definedName name="solver_lhs35" localSheetId="3" hidden="1">Requisiti_cmb!$B$125</definedName>
    <definedName name="solver_lhs35" localSheetId="1" hidden="1">Requisiti_dc!$B$125</definedName>
    <definedName name="solver_lhs35" localSheetId="2" hidden="1">Requisiti_ps!$B$125</definedName>
    <definedName name="solver_lhs35" localSheetId="4" hidden="1">Requisiti_psbo!$B$125</definedName>
    <definedName name="solver_lhs36" localSheetId="3" hidden="1">Requisiti_cmb!$B$126</definedName>
    <definedName name="solver_lhs36" localSheetId="1" hidden="1">Requisiti_dc!$B$126</definedName>
    <definedName name="solver_lhs36" localSheetId="2" hidden="1">Requisiti_ps!$B$126</definedName>
    <definedName name="solver_lhs36" localSheetId="4" hidden="1">Requisiti_psbo!$B$126</definedName>
    <definedName name="solver_lhs37" localSheetId="3" hidden="1">Requisiti_cmb!$B$127</definedName>
    <definedName name="solver_lhs37" localSheetId="1" hidden="1">Requisiti_dc!$B$127</definedName>
    <definedName name="solver_lhs37" localSheetId="2" hidden="1">Requisiti_ps!$B$127</definedName>
    <definedName name="solver_lhs37" localSheetId="4" hidden="1">Requisiti_psbo!$B$127</definedName>
    <definedName name="solver_lhs38" localSheetId="3" hidden="1">Requisiti_cmb!$B$128</definedName>
    <definedName name="solver_lhs38" localSheetId="1" hidden="1">Requisiti_dc!$B$128</definedName>
    <definedName name="solver_lhs38" localSheetId="2" hidden="1">Requisiti_ps!$B$128</definedName>
    <definedName name="solver_lhs38" localSheetId="4" hidden="1">Requisiti_psbo!$B$128</definedName>
    <definedName name="solver_lhs39" localSheetId="3" hidden="1">Requisiti_cmb!$B$129</definedName>
    <definedName name="solver_lhs39" localSheetId="1" hidden="1">Requisiti_dc!$B$129</definedName>
    <definedName name="solver_lhs39" localSheetId="2" hidden="1">Requisiti_ps!$B$129</definedName>
    <definedName name="solver_lhs39" localSheetId="4" hidden="1">Requisiti_psbo!$B$129</definedName>
    <definedName name="solver_lhs4" localSheetId="3" hidden="1">Requisiti_cmb!$B$94</definedName>
    <definedName name="solver_lhs4" localSheetId="1" hidden="1">Requisiti_dc!$B$94</definedName>
    <definedName name="solver_lhs4" localSheetId="2" hidden="1">Requisiti_ps!$B$94</definedName>
    <definedName name="solver_lhs4" localSheetId="4" hidden="1">Requisiti_psbo!$B$94</definedName>
    <definedName name="solver_lhs40" localSheetId="3" hidden="1">Requisiti_cmb!$B$130</definedName>
    <definedName name="solver_lhs40" localSheetId="1" hidden="1">Requisiti_dc!$B$130</definedName>
    <definedName name="solver_lhs40" localSheetId="2" hidden="1">Requisiti_ps!$B$130</definedName>
    <definedName name="solver_lhs40" localSheetId="4" hidden="1">Requisiti_psbo!$B$130</definedName>
    <definedName name="solver_lhs41" localSheetId="3" hidden="1">Requisiti_cmb!$B$131</definedName>
    <definedName name="solver_lhs41" localSheetId="1" hidden="1">Requisiti_dc!$B$131</definedName>
    <definedName name="solver_lhs41" localSheetId="2" hidden="1">Requisiti_ps!$B$131</definedName>
    <definedName name="solver_lhs41" localSheetId="4" hidden="1">Requisiti_psbo!$B$131</definedName>
    <definedName name="solver_lhs42" localSheetId="3" hidden="1">Requisiti_cmb!$B$132</definedName>
    <definedName name="solver_lhs42" localSheetId="1" hidden="1">Requisiti_dc!$B$132</definedName>
    <definedName name="solver_lhs42" localSheetId="2" hidden="1">Requisiti_ps!$B$132</definedName>
    <definedName name="solver_lhs42" localSheetId="4" hidden="1">Requisiti_psbo!$B$132</definedName>
    <definedName name="solver_lhs43" localSheetId="3" hidden="1">Requisiti_cmb!$B$133</definedName>
    <definedName name="solver_lhs43" localSheetId="1" hidden="1">Requisiti_dc!$B$133</definedName>
    <definedName name="solver_lhs43" localSheetId="2" hidden="1">Requisiti_ps!$B$133</definedName>
    <definedName name="solver_lhs43" localSheetId="4" hidden="1">Requisiti_psbo!$B$133</definedName>
    <definedName name="solver_lhs44" localSheetId="3" hidden="1">Requisiti_cmb!$B$134</definedName>
    <definedName name="solver_lhs44" localSheetId="1" hidden="1">Requisiti_dc!$B$134</definedName>
    <definedName name="solver_lhs44" localSheetId="2" hidden="1">Requisiti_ps!$B$134</definedName>
    <definedName name="solver_lhs44" localSheetId="4" hidden="1">Requisiti_psbo!$B$134</definedName>
    <definedName name="solver_lhs45" localSheetId="3" hidden="1">Requisiti_cmb!$B$135</definedName>
    <definedName name="solver_lhs45" localSheetId="1" hidden="1">Requisiti_dc!$B$135</definedName>
    <definedName name="solver_lhs45" localSheetId="2" hidden="1">Requisiti_ps!$B$135</definedName>
    <definedName name="solver_lhs45" localSheetId="4" hidden="1">Requisiti_psbo!$B$135</definedName>
    <definedName name="solver_lhs46" localSheetId="3" hidden="1">Requisiti_cmb!$B$136</definedName>
    <definedName name="solver_lhs46" localSheetId="1" hidden="1">Requisiti_dc!$B$136</definedName>
    <definedName name="solver_lhs46" localSheetId="2" hidden="1">Requisiti_ps!$B$136</definedName>
    <definedName name="solver_lhs46" localSheetId="4" hidden="1">Requisiti_psbo!$B$136</definedName>
    <definedName name="solver_lhs47" localSheetId="3" hidden="1">Requisiti_cmb!$B$137</definedName>
    <definedName name="solver_lhs47" localSheetId="1" hidden="1">Requisiti_dc!$B$137</definedName>
    <definedName name="solver_lhs47" localSheetId="2" hidden="1">Requisiti_ps!$B$137</definedName>
    <definedName name="solver_lhs47" localSheetId="4" hidden="1">Requisiti_psbo!$B$137</definedName>
    <definedName name="solver_lhs48" localSheetId="3" hidden="1">Requisiti_cmb!$B$138</definedName>
    <definedName name="solver_lhs48" localSheetId="1" hidden="1">Requisiti_dc!$B$138</definedName>
    <definedName name="solver_lhs48" localSheetId="2" hidden="1">Requisiti_ps!$B$138</definedName>
    <definedName name="solver_lhs48" localSheetId="4" hidden="1">Requisiti_psbo!$B$138</definedName>
    <definedName name="solver_lhs49" localSheetId="3" hidden="1">Requisiti_cmb!$B$2:$B$89</definedName>
    <definedName name="solver_lhs49" localSheetId="1" hidden="1">Requisiti_dc!$B$2:$B$89</definedName>
    <definedName name="solver_lhs49" localSheetId="2" hidden="1">Requisiti_ps!$B$2:$B$89</definedName>
    <definedName name="solver_lhs49" localSheetId="4" hidden="1">Requisiti_psbo!$B$2:$B$89</definedName>
    <definedName name="solver_lhs5" localSheetId="3" hidden="1">Requisiti_cmb!$B$95</definedName>
    <definedName name="solver_lhs5" localSheetId="1" hidden="1">Requisiti_dc!$B$95</definedName>
    <definedName name="solver_lhs5" localSheetId="2" hidden="1">Requisiti_ps!$B$95</definedName>
    <definedName name="solver_lhs5" localSheetId="4" hidden="1">Requisiti_psbo!$B$95</definedName>
    <definedName name="solver_lhs6" localSheetId="3" hidden="1">Requisiti_cmb!$B$96</definedName>
    <definedName name="solver_lhs6" localSheetId="1" hidden="1">Requisiti_dc!$B$96</definedName>
    <definedName name="solver_lhs6" localSheetId="2" hidden="1">Requisiti_ps!$B$96</definedName>
    <definedName name="solver_lhs6" localSheetId="4" hidden="1">Requisiti_psbo!$B$96</definedName>
    <definedName name="solver_lhs7" localSheetId="3" hidden="1">Requisiti_cmb!$B$97</definedName>
    <definedName name="solver_lhs7" localSheetId="1" hidden="1">Requisiti_dc!$B$97</definedName>
    <definedName name="solver_lhs7" localSheetId="2" hidden="1">Requisiti_ps!$B$97</definedName>
    <definedName name="solver_lhs7" localSheetId="4" hidden="1">Requisiti_psbo!$B$97</definedName>
    <definedName name="solver_lhs8" localSheetId="3" hidden="1">Requisiti_cmb!$B$98</definedName>
    <definedName name="solver_lhs8" localSheetId="1" hidden="1">Requisiti_dc!$B$98</definedName>
    <definedName name="solver_lhs8" localSheetId="2" hidden="1">Requisiti_ps!$B$98</definedName>
    <definedName name="solver_lhs8" localSheetId="4" hidden="1">Requisiti_psbo!$B$98</definedName>
    <definedName name="solver_lhs9" localSheetId="3" hidden="1">Requisiti_cmb!$B$99</definedName>
    <definedName name="solver_lhs9" localSheetId="1" hidden="1">Requisiti_dc!$B$99</definedName>
    <definedName name="solver_lhs9" localSheetId="2" hidden="1">Requisiti_ps!$B$99</definedName>
    <definedName name="solver_lhs9" localSheetId="4" hidden="1">Requisiti_psbo!$B$99</definedName>
    <definedName name="solver_lin" localSheetId="3" hidden="1">1</definedName>
    <definedName name="solver_lin" localSheetId="1" hidden="1">1</definedName>
    <definedName name="solver_lin" localSheetId="2" hidden="1">1</definedName>
    <definedName name="solver_lin" localSheetId="4" hidden="1">1</definedName>
    <definedName name="solver_neg" localSheetId="3" hidden="1">1</definedName>
    <definedName name="solver_neg" localSheetId="1" hidden="1">1</definedName>
    <definedName name="solver_neg" localSheetId="2" hidden="1">1</definedName>
    <definedName name="solver_neg" localSheetId="4" hidden="1">1</definedName>
    <definedName name="solver_num" localSheetId="3" hidden="1">49</definedName>
    <definedName name="solver_num" localSheetId="1" hidden="1">49</definedName>
    <definedName name="solver_num" localSheetId="2" hidden="1">49</definedName>
    <definedName name="solver_num" localSheetId="4" hidden="1">49</definedName>
    <definedName name="solver_opt" localSheetId="3" hidden="1">Requisiti_cmb!$D$90</definedName>
    <definedName name="solver_opt" localSheetId="1" hidden="1">Requisiti_dc!$D$90</definedName>
    <definedName name="solver_opt" localSheetId="2" hidden="1">Requisiti_ps!$D$90</definedName>
    <definedName name="solver_opt" localSheetId="4" hidden="1">Requisiti_psbo!$D$90</definedName>
    <definedName name="solver_rel1" localSheetId="3" hidden="1">3</definedName>
    <definedName name="solver_rel1" localSheetId="1" hidden="1">3</definedName>
    <definedName name="solver_rel1" localSheetId="2" hidden="1">3</definedName>
    <definedName name="solver_rel1" localSheetId="4" hidden="1">3</definedName>
    <definedName name="solver_rel10" localSheetId="3" hidden="1">3</definedName>
    <definedName name="solver_rel10" localSheetId="1" hidden="1">3</definedName>
    <definedName name="solver_rel10" localSheetId="2" hidden="1">3</definedName>
    <definedName name="solver_rel10" localSheetId="4" hidden="1">3</definedName>
    <definedName name="solver_rel11" localSheetId="3" hidden="1">3</definedName>
    <definedName name="solver_rel11" localSheetId="1" hidden="1">3</definedName>
    <definedName name="solver_rel11" localSheetId="2" hidden="1">3</definedName>
    <definedName name="solver_rel11" localSheetId="4" hidden="1">3</definedName>
    <definedName name="solver_rel12" localSheetId="3" hidden="1">3</definedName>
    <definedName name="solver_rel12" localSheetId="1" hidden="1">3</definedName>
    <definedName name="solver_rel12" localSheetId="2" hidden="1">3</definedName>
    <definedName name="solver_rel12" localSheetId="4" hidden="1">3</definedName>
    <definedName name="solver_rel13" localSheetId="3" hidden="1">3</definedName>
    <definedName name="solver_rel13" localSheetId="1" hidden="1">3</definedName>
    <definedName name="solver_rel13" localSheetId="2" hidden="1">3</definedName>
    <definedName name="solver_rel13" localSheetId="4" hidden="1">3</definedName>
    <definedName name="solver_rel14" localSheetId="3" hidden="1">3</definedName>
    <definedName name="solver_rel14" localSheetId="1" hidden="1">3</definedName>
    <definedName name="solver_rel14" localSheetId="2" hidden="1">3</definedName>
    <definedName name="solver_rel14" localSheetId="4" hidden="1">3</definedName>
    <definedName name="solver_rel15" localSheetId="3" hidden="1">3</definedName>
    <definedName name="solver_rel15" localSheetId="1" hidden="1">3</definedName>
    <definedName name="solver_rel15" localSheetId="2" hidden="1">3</definedName>
    <definedName name="solver_rel15" localSheetId="4" hidden="1">3</definedName>
    <definedName name="solver_rel16" localSheetId="3" hidden="1">3</definedName>
    <definedName name="solver_rel16" localSheetId="1" hidden="1">3</definedName>
    <definedName name="solver_rel16" localSheetId="2" hidden="1">3</definedName>
    <definedName name="solver_rel16" localSheetId="4" hidden="1">3</definedName>
    <definedName name="solver_rel17" localSheetId="3" hidden="1">3</definedName>
    <definedName name="solver_rel17" localSheetId="1" hidden="1">3</definedName>
    <definedName name="solver_rel17" localSheetId="2" hidden="1">3</definedName>
    <definedName name="solver_rel17" localSheetId="4" hidden="1">3</definedName>
    <definedName name="solver_rel18" localSheetId="3" hidden="1">3</definedName>
    <definedName name="solver_rel18" localSheetId="1" hidden="1">3</definedName>
    <definedName name="solver_rel18" localSheetId="2" hidden="1">3</definedName>
    <definedName name="solver_rel18" localSheetId="4" hidden="1">3</definedName>
    <definedName name="solver_rel19" localSheetId="3" hidden="1">3</definedName>
    <definedName name="solver_rel19" localSheetId="1" hidden="1">3</definedName>
    <definedName name="solver_rel19" localSheetId="2" hidden="1">3</definedName>
    <definedName name="solver_rel19" localSheetId="4" hidden="1">3</definedName>
    <definedName name="solver_rel2" localSheetId="3" hidden="1">3</definedName>
    <definedName name="solver_rel2" localSheetId="1" hidden="1">3</definedName>
    <definedName name="solver_rel2" localSheetId="2" hidden="1">3</definedName>
    <definedName name="solver_rel2" localSheetId="4" hidden="1">3</definedName>
    <definedName name="solver_rel20" localSheetId="3" hidden="1">3</definedName>
    <definedName name="solver_rel20" localSheetId="1" hidden="1">3</definedName>
    <definedName name="solver_rel20" localSheetId="2" hidden="1">3</definedName>
    <definedName name="solver_rel20" localSheetId="4" hidden="1">3</definedName>
    <definedName name="solver_rel21" localSheetId="3" hidden="1">3</definedName>
    <definedName name="solver_rel21" localSheetId="1" hidden="1">3</definedName>
    <definedName name="solver_rel21" localSheetId="2" hidden="1">3</definedName>
    <definedName name="solver_rel21" localSheetId="4" hidden="1">3</definedName>
    <definedName name="solver_rel22" localSheetId="3" hidden="1">3</definedName>
    <definedName name="solver_rel22" localSheetId="1" hidden="1">3</definedName>
    <definedName name="solver_rel22" localSheetId="2" hidden="1">3</definedName>
    <definedName name="solver_rel22" localSheetId="4" hidden="1">3</definedName>
    <definedName name="solver_rel23" localSheetId="3" hidden="1">3</definedName>
    <definedName name="solver_rel23" localSheetId="1" hidden="1">3</definedName>
    <definedName name="solver_rel23" localSheetId="2" hidden="1">3</definedName>
    <definedName name="solver_rel23" localSheetId="4" hidden="1">3</definedName>
    <definedName name="solver_rel24" localSheetId="3" hidden="1">3</definedName>
    <definedName name="solver_rel24" localSheetId="1" hidden="1">3</definedName>
    <definedName name="solver_rel24" localSheetId="2" hidden="1">3</definedName>
    <definedName name="solver_rel24" localSheetId="4" hidden="1">3</definedName>
    <definedName name="solver_rel25" localSheetId="3" hidden="1">3</definedName>
    <definedName name="solver_rel25" localSheetId="1" hidden="1">3</definedName>
    <definedName name="solver_rel25" localSheetId="2" hidden="1">3</definedName>
    <definedName name="solver_rel25" localSheetId="4" hidden="1">3</definedName>
    <definedName name="solver_rel26" localSheetId="3" hidden="1">3</definedName>
    <definedName name="solver_rel26" localSheetId="1" hidden="1">3</definedName>
    <definedName name="solver_rel26" localSheetId="2" hidden="1">3</definedName>
    <definedName name="solver_rel26" localSheetId="4" hidden="1">3</definedName>
    <definedName name="solver_rel27" localSheetId="3" hidden="1">3</definedName>
    <definedName name="solver_rel27" localSheetId="1" hidden="1">3</definedName>
    <definedName name="solver_rel27" localSheetId="2" hidden="1">3</definedName>
    <definedName name="solver_rel27" localSheetId="4" hidden="1">3</definedName>
    <definedName name="solver_rel28" localSheetId="3" hidden="1">3</definedName>
    <definedName name="solver_rel28" localSheetId="1" hidden="1">3</definedName>
    <definedName name="solver_rel28" localSheetId="2" hidden="1">3</definedName>
    <definedName name="solver_rel28" localSheetId="4" hidden="1">3</definedName>
    <definedName name="solver_rel29" localSheetId="3" hidden="1">3</definedName>
    <definedName name="solver_rel29" localSheetId="1" hidden="1">3</definedName>
    <definedName name="solver_rel29" localSheetId="2" hidden="1">3</definedName>
    <definedName name="solver_rel29" localSheetId="4" hidden="1">3</definedName>
    <definedName name="solver_rel3" localSheetId="3" hidden="1">3</definedName>
    <definedName name="solver_rel3" localSheetId="1" hidden="1">3</definedName>
    <definedName name="solver_rel3" localSheetId="2" hidden="1">3</definedName>
    <definedName name="solver_rel3" localSheetId="4" hidden="1">3</definedName>
    <definedName name="solver_rel30" localSheetId="3" hidden="1">3</definedName>
    <definedName name="solver_rel30" localSheetId="1" hidden="1">3</definedName>
    <definedName name="solver_rel30" localSheetId="2" hidden="1">3</definedName>
    <definedName name="solver_rel30" localSheetId="4" hidden="1">3</definedName>
    <definedName name="solver_rel31" localSheetId="3" hidden="1">3</definedName>
    <definedName name="solver_rel31" localSheetId="1" hidden="1">3</definedName>
    <definedName name="solver_rel31" localSheetId="2" hidden="1">3</definedName>
    <definedName name="solver_rel31" localSheetId="4" hidden="1">3</definedName>
    <definedName name="solver_rel32" localSheetId="3" hidden="1">3</definedName>
    <definedName name="solver_rel32" localSheetId="1" hidden="1">3</definedName>
    <definedName name="solver_rel32" localSheetId="2" hidden="1">3</definedName>
    <definedName name="solver_rel32" localSheetId="4" hidden="1">3</definedName>
    <definedName name="solver_rel33" localSheetId="3" hidden="1">3</definedName>
    <definedName name="solver_rel33" localSheetId="1" hidden="1">3</definedName>
    <definedName name="solver_rel33" localSheetId="2" hidden="1">3</definedName>
    <definedName name="solver_rel33" localSheetId="4" hidden="1">3</definedName>
    <definedName name="solver_rel34" localSheetId="3" hidden="1">3</definedName>
    <definedName name="solver_rel34" localSheetId="1" hidden="1">3</definedName>
    <definedName name="solver_rel34" localSheetId="2" hidden="1">3</definedName>
    <definedName name="solver_rel34" localSheetId="4" hidden="1">3</definedName>
    <definedName name="solver_rel35" localSheetId="3" hidden="1">3</definedName>
    <definedName name="solver_rel35" localSheetId="1" hidden="1">3</definedName>
    <definedName name="solver_rel35" localSheetId="2" hidden="1">3</definedName>
    <definedName name="solver_rel35" localSheetId="4" hidden="1">3</definedName>
    <definedName name="solver_rel36" localSheetId="3" hidden="1">3</definedName>
    <definedName name="solver_rel36" localSheetId="1" hidden="1">3</definedName>
    <definedName name="solver_rel36" localSheetId="2" hidden="1">3</definedName>
    <definedName name="solver_rel36" localSheetId="4" hidden="1">3</definedName>
    <definedName name="solver_rel37" localSheetId="3" hidden="1">3</definedName>
    <definedName name="solver_rel37" localSheetId="1" hidden="1">3</definedName>
    <definedName name="solver_rel37" localSheetId="2" hidden="1">3</definedName>
    <definedName name="solver_rel37" localSheetId="4" hidden="1">3</definedName>
    <definedName name="solver_rel38" localSheetId="3" hidden="1">3</definedName>
    <definedName name="solver_rel38" localSheetId="1" hidden="1">3</definedName>
    <definedName name="solver_rel38" localSheetId="2" hidden="1">3</definedName>
    <definedName name="solver_rel38" localSheetId="4" hidden="1">3</definedName>
    <definedName name="solver_rel39" localSheetId="3" hidden="1">3</definedName>
    <definedName name="solver_rel39" localSheetId="1" hidden="1">3</definedName>
    <definedName name="solver_rel39" localSheetId="2" hidden="1">3</definedName>
    <definedName name="solver_rel39" localSheetId="4" hidden="1">3</definedName>
    <definedName name="solver_rel4" localSheetId="3" hidden="1">3</definedName>
    <definedName name="solver_rel4" localSheetId="1" hidden="1">3</definedName>
    <definedName name="solver_rel4" localSheetId="2" hidden="1">3</definedName>
    <definedName name="solver_rel4" localSheetId="4" hidden="1">3</definedName>
    <definedName name="solver_rel40" localSheetId="3" hidden="1">3</definedName>
    <definedName name="solver_rel40" localSheetId="1" hidden="1">3</definedName>
    <definedName name="solver_rel40" localSheetId="2" hidden="1">3</definedName>
    <definedName name="solver_rel40" localSheetId="4" hidden="1">3</definedName>
    <definedName name="solver_rel41" localSheetId="3" hidden="1">3</definedName>
    <definedName name="solver_rel41" localSheetId="1" hidden="1">3</definedName>
    <definedName name="solver_rel41" localSheetId="2" hidden="1">3</definedName>
    <definedName name="solver_rel41" localSheetId="4" hidden="1">3</definedName>
    <definedName name="solver_rel42" localSheetId="3" hidden="1">3</definedName>
    <definedName name="solver_rel42" localSheetId="1" hidden="1">3</definedName>
    <definedName name="solver_rel42" localSheetId="2" hidden="1">3</definedName>
    <definedName name="solver_rel42" localSheetId="4" hidden="1">3</definedName>
    <definedName name="solver_rel43" localSheetId="3" hidden="1">3</definedName>
    <definedName name="solver_rel43" localSheetId="1" hidden="1">3</definedName>
    <definedName name="solver_rel43" localSheetId="2" hidden="1">3</definedName>
    <definedName name="solver_rel43" localSheetId="4" hidden="1">3</definedName>
    <definedName name="solver_rel44" localSheetId="3" hidden="1">3</definedName>
    <definedName name="solver_rel44" localSheetId="1" hidden="1">3</definedName>
    <definedName name="solver_rel44" localSheetId="2" hidden="1">3</definedName>
    <definedName name="solver_rel44" localSheetId="4" hidden="1">3</definedName>
    <definedName name="solver_rel45" localSheetId="3" hidden="1">3</definedName>
    <definedName name="solver_rel45" localSheetId="1" hidden="1">3</definedName>
    <definedName name="solver_rel45" localSheetId="2" hidden="1">3</definedName>
    <definedName name="solver_rel45" localSheetId="4" hidden="1">3</definedName>
    <definedName name="solver_rel46" localSheetId="3" hidden="1">3</definedName>
    <definedName name="solver_rel46" localSheetId="1" hidden="1">3</definedName>
    <definedName name="solver_rel46" localSheetId="2" hidden="1">3</definedName>
    <definedName name="solver_rel46" localSheetId="4" hidden="1">3</definedName>
    <definedName name="solver_rel47" localSheetId="3" hidden="1">3</definedName>
    <definedName name="solver_rel47" localSheetId="1" hidden="1">3</definedName>
    <definedName name="solver_rel47" localSheetId="2" hidden="1">3</definedName>
    <definedName name="solver_rel47" localSheetId="4" hidden="1">3</definedName>
    <definedName name="solver_rel48" localSheetId="3" hidden="1">3</definedName>
    <definedName name="solver_rel48" localSheetId="1" hidden="1">3</definedName>
    <definedName name="solver_rel48" localSheetId="2" hidden="1">3</definedName>
    <definedName name="solver_rel48" localSheetId="4" hidden="1">3</definedName>
    <definedName name="solver_rel49" localSheetId="3" hidden="1">4</definedName>
    <definedName name="solver_rel49" localSheetId="1" hidden="1">4</definedName>
    <definedName name="solver_rel49" localSheetId="2" hidden="1">4</definedName>
    <definedName name="solver_rel49" localSheetId="4" hidden="1">4</definedName>
    <definedName name="solver_rel5" localSheetId="3" hidden="1">3</definedName>
    <definedName name="solver_rel5" localSheetId="1" hidden="1">3</definedName>
    <definedName name="solver_rel5" localSheetId="2" hidden="1">3</definedName>
    <definedName name="solver_rel5" localSheetId="4" hidden="1">3</definedName>
    <definedName name="solver_rel6" localSheetId="3" hidden="1">3</definedName>
    <definedName name="solver_rel6" localSheetId="1" hidden="1">3</definedName>
    <definedName name="solver_rel6" localSheetId="2" hidden="1">3</definedName>
    <definedName name="solver_rel6" localSheetId="4" hidden="1">3</definedName>
    <definedName name="solver_rel7" localSheetId="3" hidden="1">3</definedName>
    <definedName name="solver_rel7" localSheetId="1" hidden="1">3</definedName>
    <definedName name="solver_rel7" localSheetId="2" hidden="1">3</definedName>
    <definedName name="solver_rel7" localSheetId="4" hidden="1">3</definedName>
    <definedName name="solver_rel8" localSheetId="3" hidden="1">3</definedName>
    <definedName name="solver_rel8" localSheetId="1" hidden="1">3</definedName>
    <definedName name="solver_rel8" localSheetId="2" hidden="1">3</definedName>
    <definedName name="solver_rel8" localSheetId="4" hidden="1">3</definedName>
    <definedName name="solver_rel9" localSheetId="3" hidden="1">3</definedName>
    <definedName name="solver_rel9" localSheetId="1" hidden="1">3</definedName>
    <definedName name="solver_rel9" localSheetId="2" hidden="1">3</definedName>
    <definedName name="solver_rel9" localSheetId="4" hidden="1">3</definedName>
    <definedName name="solver_rhs1" localSheetId="3" hidden="1">Requisiti_cmb!$C$91</definedName>
    <definedName name="solver_rhs1" localSheetId="1" hidden="1">Requisiti_dc!$C$91</definedName>
    <definedName name="solver_rhs1" localSheetId="2" hidden="1">Requisiti_ps!$C$91</definedName>
    <definedName name="solver_rhs1" localSheetId="4" hidden="1">Requisiti_psbo!$C$91</definedName>
    <definedName name="solver_rhs10" localSheetId="3" hidden="1">Requisiti_cmb!$C$100</definedName>
    <definedName name="solver_rhs10" localSheetId="1" hidden="1">Requisiti_dc!$C$100</definedName>
    <definedName name="solver_rhs10" localSheetId="2" hidden="1">Requisiti_ps!$C$100</definedName>
    <definedName name="solver_rhs10" localSheetId="4" hidden="1">Requisiti_psbo!$C$100</definedName>
    <definedName name="solver_rhs11" localSheetId="3" hidden="1">Requisiti_cmb!$C$101</definedName>
    <definedName name="solver_rhs11" localSheetId="1" hidden="1">Requisiti_dc!$C$101</definedName>
    <definedName name="solver_rhs11" localSheetId="2" hidden="1">Requisiti_ps!$C$101</definedName>
    <definedName name="solver_rhs11" localSheetId="4" hidden="1">Requisiti_psbo!$C$101</definedName>
    <definedName name="solver_rhs12" localSheetId="3" hidden="1">Requisiti_cmb!$C$102</definedName>
    <definedName name="solver_rhs12" localSheetId="1" hidden="1">Requisiti_dc!$C$102</definedName>
    <definedName name="solver_rhs12" localSheetId="2" hidden="1">Requisiti_ps!$C$102</definedName>
    <definedName name="solver_rhs12" localSheetId="4" hidden="1">Requisiti_psbo!$C$102</definedName>
    <definedName name="solver_rhs13" localSheetId="3" hidden="1">Requisiti_cmb!$C$103</definedName>
    <definedName name="solver_rhs13" localSheetId="1" hidden="1">Requisiti_dc!$C$103</definedName>
    <definedName name="solver_rhs13" localSheetId="2" hidden="1">Requisiti_ps!$C$103</definedName>
    <definedName name="solver_rhs13" localSheetId="4" hidden="1">Requisiti_psbo!$C$103</definedName>
    <definedName name="solver_rhs14" localSheetId="3" hidden="1">Requisiti_cmb!$C$104</definedName>
    <definedName name="solver_rhs14" localSheetId="1" hidden="1">Requisiti_dc!$C$104</definedName>
    <definedName name="solver_rhs14" localSheetId="2" hidden="1">Requisiti_ps!$C$104</definedName>
    <definedName name="solver_rhs14" localSheetId="4" hidden="1">Requisiti_psbo!$C$104</definedName>
    <definedName name="solver_rhs15" localSheetId="3" hidden="1">Requisiti_cmb!$C$105</definedName>
    <definedName name="solver_rhs15" localSheetId="1" hidden="1">Requisiti_dc!$C$105</definedName>
    <definedName name="solver_rhs15" localSheetId="2" hidden="1">Requisiti_ps!$C$105</definedName>
    <definedName name="solver_rhs15" localSheetId="4" hidden="1">Requisiti_psbo!$C$105</definedName>
    <definedName name="solver_rhs16" localSheetId="3" hidden="1">Requisiti_cmb!$C$106</definedName>
    <definedName name="solver_rhs16" localSheetId="1" hidden="1">Requisiti_dc!$C$106</definedName>
    <definedName name="solver_rhs16" localSheetId="2" hidden="1">Requisiti_ps!$C$106</definedName>
    <definedName name="solver_rhs16" localSheetId="4" hidden="1">Requisiti_psbo!$C$106</definedName>
    <definedName name="solver_rhs17" localSheetId="3" hidden="1">Requisiti_cmb!$C$107</definedName>
    <definedName name="solver_rhs17" localSheetId="1" hidden="1">Requisiti_dc!$C$107</definedName>
    <definedName name="solver_rhs17" localSheetId="2" hidden="1">Requisiti_ps!$C$107</definedName>
    <definedName name="solver_rhs17" localSheetId="4" hidden="1">Requisiti_psbo!$C$107</definedName>
    <definedName name="solver_rhs18" localSheetId="3" hidden="1">Requisiti_cmb!$C$108</definedName>
    <definedName name="solver_rhs18" localSheetId="1" hidden="1">Requisiti_dc!$C$108</definedName>
    <definedName name="solver_rhs18" localSheetId="2" hidden="1">Requisiti_ps!$C$108</definedName>
    <definedName name="solver_rhs18" localSheetId="4" hidden="1">Requisiti_psbo!$C$108</definedName>
    <definedName name="solver_rhs19" localSheetId="3" hidden="1">Requisiti_cmb!$C$109</definedName>
    <definedName name="solver_rhs19" localSheetId="1" hidden="1">Requisiti_dc!$C$109</definedName>
    <definedName name="solver_rhs19" localSheetId="2" hidden="1">Requisiti_ps!$C$109</definedName>
    <definedName name="solver_rhs19" localSheetId="4" hidden="1">Requisiti_psbo!$C$109</definedName>
    <definedName name="solver_rhs2" localSheetId="3" hidden="1">Requisiti_cmb!$C$92</definedName>
    <definedName name="solver_rhs2" localSheetId="1" hidden="1">Requisiti_dc!$C$92</definedName>
    <definedName name="solver_rhs2" localSheetId="2" hidden="1">Requisiti_ps!$C$92</definedName>
    <definedName name="solver_rhs2" localSheetId="4" hidden="1">Requisiti_psbo!$C$92</definedName>
    <definedName name="solver_rhs20" localSheetId="3" hidden="1">Requisiti_cmb!$C$110</definedName>
    <definedName name="solver_rhs20" localSheetId="1" hidden="1">Requisiti_dc!$C$110</definedName>
    <definedName name="solver_rhs20" localSheetId="2" hidden="1">Requisiti_ps!$C$110</definedName>
    <definedName name="solver_rhs20" localSheetId="4" hidden="1">Requisiti_psbo!$C$110</definedName>
    <definedName name="solver_rhs21" localSheetId="3" hidden="1">Requisiti_cmb!$C$111</definedName>
    <definedName name="solver_rhs21" localSheetId="1" hidden="1">Requisiti_dc!$C$111</definedName>
    <definedName name="solver_rhs21" localSheetId="2" hidden="1">Requisiti_ps!$C$111</definedName>
    <definedName name="solver_rhs21" localSheetId="4" hidden="1">Requisiti_psbo!$C$111</definedName>
    <definedName name="solver_rhs22" localSheetId="3" hidden="1">Requisiti_cmb!$C$112</definedName>
    <definedName name="solver_rhs22" localSheetId="1" hidden="1">Requisiti_dc!$C$112</definedName>
    <definedName name="solver_rhs22" localSheetId="2" hidden="1">Requisiti_ps!$C$112</definedName>
    <definedName name="solver_rhs22" localSheetId="4" hidden="1">Requisiti_psbo!$C$112</definedName>
    <definedName name="solver_rhs23" localSheetId="3" hidden="1">Requisiti_cmb!$C$113</definedName>
    <definedName name="solver_rhs23" localSheetId="1" hidden="1">Requisiti_dc!$C$113</definedName>
    <definedName name="solver_rhs23" localSheetId="2" hidden="1">Requisiti_ps!$C$113</definedName>
    <definedName name="solver_rhs23" localSheetId="4" hidden="1">Requisiti_psbo!$C$113</definedName>
    <definedName name="solver_rhs24" localSheetId="3" hidden="1">Requisiti_cmb!$C$114</definedName>
    <definedName name="solver_rhs24" localSheetId="1" hidden="1">Requisiti_dc!$C$114</definedName>
    <definedName name="solver_rhs24" localSheetId="2" hidden="1">Requisiti_ps!$C$114</definedName>
    <definedName name="solver_rhs24" localSheetId="4" hidden="1">Requisiti_psbo!$C$114</definedName>
    <definedName name="solver_rhs25" localSheetId="3" hidden="1">Requisiti_cmb!$C$115</definedName>
    <definedName name="solver_rhs25" localSheetId="1" hidden="1">Requisiti_dc!$C$115</definedName>
    <definedName name="solver_rhs25" localSheetId="2" hidden="1">Requisiti_ps!$C$115</definedName>
    <definedName name="solver_rhs25" localSheetId="4" hidden="1">Requisiti_psbo!$C$115</definedName>
    <definedName name="solver_rhs26" localSheetId="3" hidden="1">Requisiti_cmb!$C$116</definedName>
    <definedName name="solver_rhs26" localSheetId="1" hidden="1">Requisiti_dc!$C$116</definedName>
    <definedName name="solver_rhs26" localSheetId="2" hidden="1">Requisiti_ps!$C$116</definedName>
    <definedName name="solver_rhs26" localSheetId="4" hidden="1">Requisiti_psbo!$C$116</definedName>
    <definedName name="solver_rhs27" localSheetId="3" hidden="1">Requisiti_cmb!$C$117</definedName>
    <definedName name="solver_rhs27" localSheetId="1" hidden="1">Requisiti_dc!$C$117</definedName>
    <definedName name="solver_rhs27" localSheetId="2" hidden="1">Requisiti_ps!$C$117</definedName>
    <definedName name="solver_rhs27" localSheetId="4" hidden="1">Requisiti_psbo!$C$117</definedName>
    <definedName name="solver_rhs28" localSheetId="3" hidden="1">Requisiti_cmb!$C$118</definedName>
    <definedName name="solver_rhs28" localSheetId="1" hidden="1">Requisiti_dc!$C$118</definedName>
    <definedName name="solver_rhs28" localSheetId="2" hidden="1">Requisiti_ps!$C$118</definedName>
    <definedName name="solver_rhs28" localSheetId="4" hidden="1">Requisiti_psbo!$C$118</definedName>
    <definedName name="solver_rhs29" localSheetId="3" hidden="1">Requisiti_cmb!$C$119</definedName>
    <definedName name="solver_rhs29" localSheetId="1" hidden="1">Requisiti_dc!$C$119</definedName>
    <definedName name="solver_rhs29" localSheetId="2" hidden="1">Requisiti_ps!$C$119</definedName>
    <definedName name="solver_rhs29" localSheetId="4" hidden="1">Requisiti_psbo!$C$119</definedName>
    <definedName name="solver_rhs3" localSheetId="3" hidden="1">Requisiti_cmb!$C$93</definedName>
    <definedName name="solver_rhs3" localSheetId="1" hidden="1">Requisiti_dc!$C$93</definedName>
    <definedName name="solver_rhs3" localSheetId="2" hidden="1">Requisiti_ps!$C$93</definedName>
    <definedName name="solver_rhs3" localSheetId="4" hidden="1">Requisiti_psbo!$C$93</definedName>
    <definedName name="solver_rhs30" localSheetId="3" hidden="1">Requisiti_cmb!$C$120</definedName>
    <definedName name="solver_rhs30" localSheetId="1" hidden="1">Requisiti_dc!$C$120</definedName>
    <definedName name="solver_rhs30" localSheetId="2" hidden="1">Requisiti_ps!$C$120</definedName>
    <definedName name="solver_rhs30" localSheetId="4" hidden="1">Requisiti_psbo!$C$120</definedName>
    <definedName name="solver_rhs31" localSheetId="3" hidden="1">Requisiti_cmb!$C$121</definedName>
    <definedName name="solver_rhs31" localSheetId="1" hidden="1">Requisiti_dc!$C$121</definedName>
    <definedName name="solver_rhs31" localSheetId="2" hidden="1">Requisiti_ps!$C$121</definedName>
    <definedName name="solver_rhs31" localSheetId="4" hidden="1">Requisiti_psbo!$C$121</definedName>
    <definedName name="solver_rhs32" localSheetId="3" hidden="1">Requisiti_cmb!$C$122</definedName>
    <definedName name="solver_rhs32" localSheetId="1" hidden="1">Requisiti_dc!$C$122</definedName>
    <definedName name="solver_rhs32" localSheetId="2" hidden="1">Requisiti_ps!$C$122</definedName>
    <definedName name="solver_rhs32" localSheetId="4" hidden="1">Requisiti_psbo!$C$122</definedName>
    <definedName name="solver_rhs33" localSheetId="3" hidden="1">Requisiti_cmb!$C$123</definedName>
    <definedName name="solver_rhs33" localSheetId="1" hidden="1">Requisiti_dc!$C$123</definedName>
    <definedName name="solver_rhs33" localSheetId="2" hidden="1">Requisiti_ps!$C$123</definedName>
    <definedName name="solver_rhs33" localSheetId="4" hidden="1">Requisiti_psbo!$C$123</definedName>
    <definedName name="solver_rhs34" localSheetId="3" hidden="1">Requisiti_cmb!$C$124</definedName>
    <definedName name="solver_rhs34" localSheetId="1" hidden="1">Requisiti_dc!$C$124</definedName>
    <definedName name="solver_rhs34" localSheetId="2" hidden="1">Requisiti_ps!$C$124</definedName>
    <definedName name="solver_rhs34" localSheetId="4" hidden="1">Requisiti_psbo!$C$124</definedName>
    <definedName name="solver_rhs35" localSheetId="3" hidden="1">Requisiti_cmb!$C$125</definedName>
    <definedName name="solver_rhs35" localSheetId="1" hidden="1">Requisiti_dc!$C$125</definedName>
    <definedName name="solver_rhs35" localSheetId="2" hidden="1">Requisiti_ps!$C$125</definedName>
    <definedName name="solver_rhs35" localSheetId="4" hidden="1">Requisiti_psbo!$C$125</definedName>
    <definedName name="solver_rhs36" localSheetId="3" hidden="1">Requisiti_cmb!$C$126</definedName>
    <definedName name="solver_rhs36" localSheetId="1" hidden="1">Requisiti_dc!$C$126</definedName>
    <definedName name="solver_rhs36" localSheetId="2" hidden="1">Requisiti_ps!$C$126</definedName>
    <definedName name="solver_rhs36" localSheetId="4" hidden="1">Requisiti_psbo!$C$126</definedName>
    <definedName name="solver_rhs37" localSheetId="3" hidden="1">Requisiti_cmb!$C$127</definedName>
    <definedName name="solver_rhs37" localSheetId="1" hidden="1">Requisiti_dc!$C$127</definedName>
    <definedName name="solver_rhs37" localSheetId="2" hidden="1">Requisiti_ps!$C$127</definedName>
    <definedName name="solver_rhs37" localSheetId="4" hidden="1">Requisiti_psbo!$C$127</definedName>
    <definedName name="solver_rhs38" localSheetId="3" hidden="1">Requisiti_cmb!$C$128</definedName>
    <definedName name="solver_rhs38" localSheetId="1" hidden="1">Requisiti_dc!$C$128</definedName>
    <definedName name="solver_rhs38" localSheetId="2" hidden="1">Requisiti_ps!$C$128</definedName>
    <definedName name="solver_rhs38" localSheetId="4" hidden="1">Requisiti_psbo!$C$128</definedName>
    <definedName name="solver_rhs39" localSheetId="3" hidden="1">Requisiti_cmb!$C$129</definedName>
    <definedName name="solver_rhs39" localSheetId="1" hidden="1">Requisiti_dc!$C$129</definedName>
    <definedName name="solver_rhs39" localSheetId="2" hidden="1">Requisiti_ps!$C$129</definedName>
    <definedName name="solver_rhs39" localSheetId="4" hidden="1">Requisiti_psbo!$C$129</definedName>
    <definedName name="solver_rhs4" localSheetId="3" hidden="1">Requisiti_cmb!$C$94</definedName>
    <definedName name="solver_rhs4" localSheetId="1" hidden="1">Requisiti_dc!$C$94</definedName>
    <definedName name="solver_rhs4" localSheetId="2" hidden="1">Requisiti_ps!$C$94</definedName>
    <definedName name="solver_rhs4" localSheetId="4" hidden="1">Requisiti_psbo!$C$94</definedName>
    <definedName name="solver_rhs40" localSheetId="3" hidden="1">Requisiti_cmb!$C$130</definedName>
    <definedName name="solver_rhs40" localSheetId="1" hidden="1">Requisiti_dc!$C$130</definedName>
    <definedName name="solver_rhs40" localSheetId="2" hidden="1">Requisiti_ps!$C$130</definedName>
    <definedName name="solver_rhs40" localSheetId="4" hidden="1">Requisiti_psbo!$C$130</definedName>
    <definedName name="solver_rhs41" localSheetId="3" hidden="1">Requisiti_cmb!$C$131</definedName>
    <definedName name="solver_rhs41" localSheetId="1" hidden="1">Requisiti_dc!$C$131</definedName>
    <definedName name="solver_rhs41" localSheetId="2" hidden="1">Requisiti_ps!$C$131</definedName>
    <definedName name="solver_rhs41" localSheetId="4" hidden="1">Requisiti_psbo!$C$131</definedName>
    <definedName name="solver_rhs42" localSheetId="3" hidden="1">Requisiti_cmb!$C$132</definedName>
    <definedName name="solver_rhs42" localSheetId="1" hidden="1">Requisiti_dc!$C$132</definedName>
    <definedName name="solver_rhs42" localSheetId="2" hidden="1">Requisiti_ps!$C$132</definedName>
    <definedName name="solver_rhs42" localSheetId="4" hidden="1">Requisiti_psbo!$C$132</definedName>
    <definedName name="solver_rhs43" localSheetId="3" hidden="1">Requisiti_cmb!$C$133</definedName>
    <definedName name="solver_rhs43" localSheetId="1" hidden="1">Requisiti_dc!$C$133</definedName>
    <definedName name="solver_rhs43" localSheetId="2" hidden="1">Requisiti_ps!$C$133</definedName>
    <definedName name="solver_rhs43" localSheetId="4" hidden="1">Requisiti_psbo!$C$133</definedName>
    <definedName name="solver_rhs44" localSheetId="3" hidden="1">Requisiti_cmb!$C$134</definedName>
    <definedName name="solver_rhs44" localSheetId="1" hidden="1">Requisiti_dc!$C$134</definedName>
    <definedName name="solver_rhs44" localSheetId="2" hidden="1">Requisiti_ps!$C$134</definedName>
    <definedName name="solver_rhs44" localSheetId="4" hidden="1">Requisiti_psbo!$C$134</definedName>
    <definedName name="solver_rhs45" localSheetId="3" hidden="1">Requisiti_cmb!$C$135</definedName>
    <definedName name="solver_rhs45" localSheetId="1" hidden="1">Requisiti_dc!$C$135</definedName>
    <definedName name="solver_rhs45" localSheetId="2" hidden="1">Requisiti_ps!$C$135</definedName>
    <definedName name="solver_rhs45" localSheetId="4" hidden="1">Requisiti_psbo!$C$135</definedName>
    <definedName name="solver_rhs46" localSheetId="3" hidden="1">Requisiti_cmb!$C$136</definedName>
    <definedName name="solver_rhs46" localSheetId="1" hidden="1">Requisiti_dc!$C$136</definedName>
    <definedName name="solver_rhs46" localSheetId="2" hidden="1">Requisiti_ps!$C$136</definedName>
    <definedName name="solver_rhs46" localSheetId="4" hidden="1">Requisiti_psbo!$C$136</definedName>
    <definedName name="solver_rhs47" localSheetId="3" hidden="1">Requisiti_cmb!$C$137</definedName>
    <definedName name="solver_rhs47" localSheetId="1" hidden="1">Requisiti_dc!$C$137</definedName>
    <definedName name="solver_rhs47" localSheetId="2" hidden="1">Requisiti_ps!$C$137</definedName>
    <definedName name="solver_rhs47" localSheetId="4" hidden="1">Requisiti_psbo!$C$137</definedName>
    <definedName name="solver_rhs48" localSheetId="3" hidden="1">Requisiti_cmb!$C$138</definedName>
    <definedName name="solver_rhs48" localSheetId="1" hidden="1">Requisiti_dc!$C$138</definedName>
    <definedName name="solver_rhs48" localSheetId="2" hidden="1">Requisiti_ps!$C$138</definedName>
    <definedName name="solver_rhs48" localSheetId="4" hidden="1">Requisiti_psbo!$C$138</definedName>
    <definedName name="solver_rhs49" localSheetId="3" hidden="1">"intero"</definedName>
    <definedName name="solver_rhs49" localSheetId="1" hidden="1">"intero"</definedName>
    <definedName name="solver_rhs49" localSheetId="2" hidden="1">"intero"</definedName>
    <definedName name="solver_rhs49" localSheetId="4" hidden="1">"intero"</definedName>
    <definedName name="solver_rhs5" localSheetId="3" hidden="1">Requisiti_cmb!$C$95</definedName>
    <definedName name="solver_rhs5" localSheetId="1" hidden="1">Requisiti_dc!$C$95</definedName>
    <definedName name="solver_rhs5" localSheetId="2" hidden="1">Requisiti_ps!$C$95</definedName>
    <definedName name="solver_rhs5" localSheetId="4" hidden="1">Requisiti_psbo!$C$95</definedName>
    <definedName name="solver_rhs6" localSheetId="3" hidden="1">Requisiti_cmb!$C$96</definedName>
    <definedName name="solver_rhs6" localSheetId="1" hidden="1">Requisiti_dc!$C$96</definedName>
    <definedName name="solver_rhs6" localSheetId="2" hidden="1">Requisiti_ps!$C$96</definedName>
    <definedName name="solver_rhs6" localSheetId="4" hidden="1">Requisiti_psbo!$C$96</definedName>
    <definedName name="solver_rhs7" localSheetId="3" hidden="1">Requisiti_cmb!$C$97</definedName>
    <definedName name="solver_rhs7" localSheetId="1" hidden="1">Requisiti_dc!$C$97</definedName>
    <definedName name="solver_rhs7" localSheetId="2" hidden="1">Requisiti_ps!$C$97</definedName>
    <definedName name="solver_rhs7" localSheetId="4" hidden="1">Requisiti_psbo!$C$97</definedName>
    <definedName name="solver_rhs8" localSheetId="3" hidden="1">Requisiti_cmb!$C$98</definedName>
    <definedName name="solver_rhs8" localSheetId="1" hidden="1">Requisiti_dc!$C$98</definedName>
    <definedName name="solver_rhs8" localSheetId="2" hidden="1">Requisiti_ps!$C$98</definedName>
    <definedName name="solver_rhs8" localSheetId="4" hidden="1">Requisiti_psbo!$C$98</definedName>
    <definedName name="solver_rhs9" localSheetId="3" hidden="1">Requisiti_cmb!$C$99</definedName>
    <definedName name="solver_rhs9" localSheetId="1" hidden="1">Requisiti_dc!$C$99</definedName>
    <definedName name="solver_rhs9" localSheetId="2" hidden="1">Requisiti_ps!$C$99</definedName>
    <definedName name="solver_rhs9" localSheetId="4" hidden="1">Requisiti_psbo!$C$99</definedName>
    <definedName name="solver_typ" localSheetId="3" hidden="1">2</definedName>
    <definedName name="solver_typ" localSheetId="1" hidden="1">2</definedName>
    <definedName name="solver_typ" localSheetId="2" hidden="1">2</definedName>
    <definedName name="solver_typ" localSheetId="4" hidden="1">2</definedName>
    <definedName name="solver_val" localSheetId="3" hidden="1">0</definedName>
    <definedName name="solver_val" localSheetId="1" hidden="1">0</definedName>
    <definedName name="solver_val" localSheetId="2" hidden="1">0</definedName>
    <definedName name="solver_val" localSheetId="4" hidden="1">0</definedName>
    <definedName name="solver_ver" localSheetId="3" hidden="1">3</definedName>
    <definedName name="solver_ver" localSheetId="1" hidden="1">3</definedName>
    <definedName name="solver_ver" localSheetId="2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81" i="566" l="1"/>
  <c r="AT81" i="566"/>
  <c r="AU80" i="566"/>
  <c r="AT80" i="566"/>
  <c r="AU79" i="566"/>
  <c r="AT79" i="566"/>
  <c r="AU78" i="566"/>
  <c r="AT78" i="566"/>
  <c r="AU77" i="566"/>
  <c r="AT77" i="566"/>
  <c r="AU76" i="566"/>
  <c r="AT76" i="566"/>
  <c r="AU75" i="566"/>
  <c r="AT75" i="566"/>
  <c r="AU74" i="566"/>
  <c r="AT74" i="566"/>
  <c r="AU73" i="566"/>
  <c r="AT73" i="566"/>
  <c r="AU72" i="566"/>
  <c r="AT72" i="566"/>
  <c r="AU71" i="566"/>
  <c r="AT71" i="566"/>
  <c r="AU70" i="566"/>
  <c r="AT70" i="566"/>
  <c r="AU69" i="566"/>
  <c r="AT69" i="566"/>
  <c r="AU68" i="566"/>
  <c r="AT68" i="566"/>
  <c r="AU67" i="566"/>
  <c r="AT67" i="566"/>
  <c r="AU66" i="566"/>
  <c r="AT66" i="566"/>
  <c r="AU64" i="566"/>
  <c r="AT64" i="566"/>
  <c r="AU63" i="566"/>
  <c r="AT63" i="566"/>
  <c r="AU62" i="566"/>
  <c r="AT62" i="566"/>
  <c r="AU61" i="566"/>
  <c r="AT61" i="566"/>
  <c r="AU60" i="566"/>
  <c r="AT60" i="566"/>
  <c r="AU59" i="566"/>
  <c r="AT59" i="566"/>
  <c r="AU58" i="566"/>
  <c r="AT58" i="566"/>
  <c r="AU57" i="566"/>
  <c r="AT57" i="566"/>
  <c r="AU55" i="566"/>
  <c r="AT55" i="566"/>
  <c r="AU54" i="566"/>
  <c r="AT54" i="566"/>
  <c r="AU53" i="566"/>
  <c r="AT53" i="566"/>
  <c r="AU52" i="566"/>
  <c r="AT52" i="566"/>
  <c r="AU51" i="566"/>
  <c r="AT51" i="566"/>
  <c r="AU50" i="566"/>
  <c r="AT50" i="566"/>
  <c r="AU49" i="566"/>
  <c r="AT49" i="566"/>
  <c r="AU44" i="566"/>
  <c r="AT44" i="566"/>
  <c r="AU43" i="566"/>
  <c r="AT43" i="566"/>
  <c r="AU42" i="566"/>
  <c r="AT42" i="566"/>
  <c r="AU41" i="566"/>
  <c r="AT41" i="566"/>
  <c r="AU39" i="566"/>
  <c r="AT39" i="566"/>
  <c r="AU38" i="566"/>
  <c r="AT38" i="566"/>
  <c r="AU37" i="566"/>
  <c r="AT37" i="566"/>
  <c r="AU36" i="566"/>
  <c r="AT36" i="566"/>
  <c r="AU35" i="566"/>
  <c r="AT35" i="566"/>
  <c r="AU34" i="566"/>
  <c r="AT34" i="566"/>
  <c r="AU33" i="566"/>
  <c r="AT33" i="566"/>
  <c r="AU32" i="566"/>
  <c r="AT32" i="566"/>
  <c r="AU31" i="566"/>
  <c r="AT31" i="566"/>
  <c r="AU30" i="566"/>
  <c r="AT30" i="566"/>
  <c r="AU29" i="566"/>
  <c r="AT29" i="566"/>
  <c r="AU27" i="566"/>
  <c r="AT27" i="566"/>
  <c r="AU26" i="566"/>
  <c r="AT26" i="566"/>
  <c r="AU25" i="566"/>
  <c r="AT25" i="566"/>
  <c r="AU24" i="566"/>
  <c r="AT24" i="566"/>
  <c r="AU22" i="566"/>
  <c r="AT22" i="566"/>
  <c r="AU21" i="566"/>
  <c r="AT21" i="566"/>
  <c r="AU20" i="566"/>
  <c r="AT20" i="566"/>
  <c r="AU19" i="566"/>
  <c r="AT19" i="566"/>
  <c r="AU18" i="566"/>
  <c r="AT18" i="566"/>
  <c r="AU16" i="566"/>
  <c r="AT16" i="566"/>
  <c r="AU15" i="566"/>
  <c r="AT15" i="566"/>
  <c r="AU14" i="566"/>
  <c r="AT14" i="566"/>
  <c r="AU13" i="566"/>
  <c r="AT13" i="566"/>
  <c r="AU12" i="566"/>
  <c r="AT12" i="566"/>
  <c r="AU11" i="566"/>
  <c r="AT11" i="566"/>
  <c r="AU10" i="566"/>
  <c r="AT10" i="566"/>
  <c r="AU9" i="566"/>
  <c r="AT9" i="566"/>
  <c r="AU7" i="566"/>
  <c r="AT7" i="566"/>
  <c r="AU6" i="566"/>
  <c r="AT6" i="566"/>
  <c r="AU5" i="566"/>
  <c r="AT5" i="566"/>
  <c r="AU4" i="566"/>
  <c r="AT4" i="566"/>
  <c r="AU3" i="566"/>
  <c r="AT3" i="566"/>
  <c r="AT1" i="566"/>
  <c r="AS12" i="566" l="1"/>
  <c r="AR12" i="566"/>
  <c r="Q90" i="3"/>
  <c r="AI81" i="566" l="1"/>
  <c r="AH81" i="566"/>
  <c r="AI80" i="566"/>
  <c r="AH80" i="566"/>
  <c r="AI79" i="566"/>
  <c r="AH79" i="566"/>
  <c r="AI78" i="566"/>
  <c r="AH78" i="566"/>
  <c r="AI77" i="566"/>
  <c r="AH77" i="566"/>
  <c r="AI76" i="566"/>
  <c r="AH76" i="566"/>
  <c r="AI75" i="566"/>
  <c r="AH75" i="566"/>
  <c r="AI74" i="566"/>
  <c r="AH74" i="566"/>
  <c r="AI73" i="566"/>
  <c r="AH73" i="566"/>
  <c r="AI72" i="566"/>
  <c r="AH72" i="566"/>
  <c r="AI71" i="566"/>
  <c r="AH71" i="566"/>
  <c r="AI70" i="566"/>
  <c r="AH70" i="566"/>
  <c r="AI69" i="566"/>
  <c r="AH69" i="566"/>
  <c r="AI68" i="566"/>
  <c r="AH68" i="566"/>
  <c r="AK77" i="566" l="1"/>
  <c r="AJ77" i="566"/>
  <c r="AJ79" i="566"/>
  <c r="AK79" i="566"/>
  <c r="AK74" i="566"/>
  <c r="AJ74" i="566"/>
  <c r="AK80" i="566"/>
  <c r="AJ80" i="566"/>
  <c r="AJ69" i="566"/>
  <c r="AK69" i="566"/>
  <c r="AK76" i="566"/>
  <c r="AJ76" i="566"/>
  <c r="AK71" i="566"/>
  <c r="AJ71" i="566"/>
  <c r="AJ73" i="566"/>
  <c r="AK73" i="566"/>
  <c r="AK68" i="566"/>
  <c r="AJ68" i="566"/>
  <c r="AK75" i="566"/>
  <c r="AJ75" i="566"/>
  <c r="AJ81" i="566"/>
  <c r="AK81" i="566"/>
  <c r="AK70" i="566"/>
  <c r="AJ70" i="566"/>
  <c r="AK72" i="566"/>
  <c r="AJ72" i="566"/>
  <c r="AK78" i="566"/>
  <c r="AJ78" i="566"/>
  <c r="AI67" i="566"/>
  <c r="AH67" i="566"/>
  <c r="AI66" i="566"/>
  <c r="AH66" i="566"/>
  <c r="AI64" i="566"/>
  <c r="AH64" i="566"/>
  <c r="AI63" i="566"/>
  <c r="AH63" i="566"/>
  <c r="AI62" i="566"/>
  <c r="AH62" i="566"/>
  <c r="AI61" i="566"/>
  <c r="AH61" i="566"/>
  <c r="AI60" i="566"/>
  <c r="AH60" i="566"/>
  <c r="AI59" i="566"/>
  <c r="AH59" i="566"/>
  <c r="AI58" i="566"/>
  <c r="AH58" i="566"/>
  <c r="AI57" i="566"/>
  <c r="AH57" i="566"/>
  <c r="AI55" i="566"/>
  <c r="AH55" i="566"/>
  <c r="AI54" i="566"/>
  <c r="AH54" i="566"/>
  <c r="AI53" i="566"/>
  <c r="AH53" i="566"/>
  <c r="AI52" i="566"/>
  <c r="AH52" i="566"/>
  <c r="AI51" i="566"/>
  <c r="AH51" i="566"/>
  <c r="AI50" i="566"/>
  <c r="AH50" i="566"/>
  <c r="AI49" i="566"/>
  <c r="AH49" i="566"/>
  <c r="AI44" i="566"/>
  <c r="AH44" i="566"/>
  <c r="AJ49" i="566" l="1"/>
  <c r="AK49" i="566"/>
  <c r="AM68" i="566"/>
  <c r="AL68" i="566"/>
  <c r="AK51" i="566"/>
  <c r="AJ51" i="566"/>
  <c r="AK52" i="566"/>
  <c r="AJ52" i="566"/>
  <c r="AM77" i="566"/>
  <c r="AL77" i="566"/>
  <c r="AK66" i="566"/>
  <c r="AJ66" i="566"/>
  <c r="AM70" i="566"/>
  <c r="AL70" i="566"/>
  <c r="AM76" i="566"/>
  <c r="AL76" i="566"/>
  <c r="AJ55" i="566"/>
  <c r="AK55" i="566"/>
  <c r="AM75" i="566"/>
  <c r="AL75" i="566"/>
  <c r="AK57" i="566"/>
  <c r="AJ57" i="566"/>
  <c r="AM74" i="566"/>
  <c r="AL74" i="566"/>
  <c r="AK63" i="566"/>
  <c r="AJ63" i="566"/>
  <c r="AM79" i="566"/>
  <c r="AL79" i="566"/>
  <c r="AK64" i="566"/>
  <c r="AJ64" i="566"/>
  <c r="AL71" i="566"/>
  <c r="AM71" i="566"/>
  <c r="AJ53" i="566"/>
  <c r="AK53" i="566"/>
  <c r="AJ61" i="566"/>
  <c r="AK61" i="566"/>
  <c r="AM80" i="566"/>
  <c r="AL80" i="566"/>
  <c r="AK50" i="566"/>
  <c r="AJ50" i="566"/>
  <c r="AK62" i="566"/>
  <c r="AJ62" i="566"/>
  <c r="AJ58" i="566"/>
  <c r="AK58" i="566"/>
  <c r="AM78" i="566"/>
  <c r="AL78" i="566"/>
  <c r="AM73" i="566"/>
  <c r="AL73" i="566"/>
  <c r="AK59" i="566"/>
  <c r="AJ59" i="566"/>
  <c r="AM72" i="566"/>
  <c r="AL72" i="566"/>
  <c r="AK44" i="566"/>
  <c r="AJ44" i="566"/>
  <c r="AK54" i="566"/>
  <c r="AJ54" i="566"/>
  <c r="AK60" i="566"/>
  <c r="AJ60" i="566"/>
  <c r="AK67" i="566"/>
  <c r="AJ67" i="566"/>
  <c r="AM81" i="566"/>
  <c r="AL81" i="566"/>
  <c r="AM69" i="566"/>
  <c r="AL69" i="566"/>
  <c r="AI43" i="566"/>
  <c r="AH43" i="566"/>
  <c r="AI42" i="566"/>
  <c r="AH42" i="566"/>
  <c r="AI41" i="566"/>
  <c r="AH41" i="566"/>
  <c r="AI39" i="566"/>
  <c r="AH39" i="566"/>
  <c r="AI38" i="566"/>
  <c r="AH38" i="566"/>
  <c r="AI37" i="566"/>
  <c r="AH37" i="566"/>
  <c r="AI36" i="566"/>
  <c r="AH36" i="566"/>
  <c r="AI35" i="566"/>
  <c r="AH35" i="566"/>
  <c r="AI34" i="566"/>
  <c r="AH34" i="566"/>
  <c r="AI33" i="566"/>
  <c r="AH33" i="566"/>
  <c r="AI32" i="566"/>
  <c r="AH32" i="566"/>
  <c r="AI31" i="566"/>
  <c r="AH31" i="566"/>
  <c r="AI30" i="566"/>
  <c r="AH30" i="566"/>
  <c r="AI29" i="566"/>
  <c r="AH29" i="566"/>
  <c r="AI27" i="566"/>
  <c r="AH27" i="566"/>
  <c r="AI26" i="566"/>
  <c r="AH26" i="566"/>
  <c r="AI25" i="566"/>
  <c r="AH25" i="566"/>
  <c r="AI24" i="566"/>
  <c r="AH24" i="566"/>
  <c r="AI22" i="566"/>
  <c r="AH22" i="566"/>
  <c r="AI21" i="566"/>
  <c r="AH21" i="566"/>
  <c r="AI20" i="566"/>
  <c r="AH20" i="566"/>
  <c r="AI19" i="566"/>
  <c r="AH19" i="566"/>
  <c r="AO73" i="566" l="1"/>
  <c r="AN73" i="566"/>
  <c r="AN70" i="566"/>
  <c r="AO70" i="566"/>
  <c r="AO77" i="566"/>
  <c r="AN77" i="566"/>
  <c r="AO74" i="566"/>
  <c r="AN74" i="566"/>
  <c r="AO69" i="566"/>
  <c r="AN69" i="566"/>
  <c r="AN78" i="566"/>
  <c r="AO78" i="566"/>
  <c r="AO71" i="566"/>
  <c r="AN71" i="566"/>
  <c r="AN72" i="566"/>
  <c r="AO72" i="566"/>
  <c r="AO75" i="566"/>
  <c r="AN75" i="566"/>
  <c r="AO81" i="566"/>
  <c r="AN81" i="566"/>
  <c r="AO80" i="566"/>
  <c r="AN80" i="566"/>
  <c r="AO79" i="566"/>
  <c r="AN79" i="566"/>
  <c r="AO76" i="566"/>
  <c r="AN76" i="566"/>
  <c r="AO68" i="566"/>
  <c r="AN68" i="566"/>
  <c r="AJ29" i="566"/>
  <c r="AK29" i="566"/>
  <c r="AM64" i="566"/>
  <c r="AL64" i="566"/>
  <c r="AK22" i="566"/>
  <c r="AJ22" i="566"/>
  <c r="AK39" i="566"/>
  <c r="AJ39" i="566"/>
  <c r="AM67" i="566"/>
  <c r="AL67" i="566"/>
  <c r="AM63" i="566"/>
  <c r="AL63" i="566"/>
  <c r="AK31" i="566"/>
  <c r="AJ31" i="566"/>
  <c r="AM60" i="566"/>
  <c r="AL60" i="566"/>
  <c r="AK26" i="566"/>
  <c r="AJ26" i="566"/>
  <c r="AK36" i="566"/>
  <c r="AJ36" i="566"/>
  <c r="AM54" i="566"/>
  <c r="AL54" i="566"/>
  <c r="AM57" i="566"/>
  <c r="AL57" i="566"/>
  <c r="AJ21" i="566"/>
  <c r="AK21" i="566"/>
  <c r="AJ34" i="566"/>
  <c r="AK34" i="566"/>
  <c r="AK30" i="566"/>
  <c r="AJ30" i="566"/>
  <c r="AJ41" i="566"/>
  <c r="AK41" i="566"/>
  <c r="AK25" i="566"/>
  <c r="AJ25" i="566"/>
  <c r="AK42" i="566"/>
  <c r="AJ42" i="566"/>
  <c r="AL66" i="566"/>
  <c r="AM66" i="566"/>
  <c r="AM49" i="566"/>
  <c r="AL49" i="566"/>
  <c r="AK19" i="566"/>
  <c r="AJ19" i="566"/>
  <c r="AJ32" i="566"/>
  <c r="AK32" i="566"/>
  <c r="AK43" i="566"/>
  <c r="AJ43" i="566"/>
  <c r="AM58" i="566"/>
  <c r="AL58" i="566"/>
  <c r="AL53" i="566"/>
  <c r="AM53" i="566"/>
  <c r="AJ38" i="566"/>
  <c r="AK38" i="566"/>
  <c r="AM50" i="566"/>
  <c r="AL50" i="566"/>
  <c r="AM51" i="566"/>
  <c r="AL51" i="566"/>
  <c r="AM55" i="566"/>
  <c r="AL55" i="566"/>
  <c r="AK35" i="566"/>
  <c r="AJ35" i="566"/>
  <c r="AM59" i="566"/>
  <c r="AL59" i="566"/>
  <c r="AJ24" i="566"/>
  <c r="AK24" i="566"/>
  <c r="AM61" i="566"/>
  <c r="AL61" i="566"/>
  <c r="AK20" i="566"/>
  <c r="AJ20" i="566"/>
  <c r="AK27" i="566"/>
  <c r="AJ27" i="566"/>
  <c r="AK33" i="566"/>
  <c r="AJ33" i="566"/>
  <c r="AK37" i="566"/>
  <c r="AJ37" i="566"/>
  <c r="AM44" i="566"/>
  <c r="AL44" i="566"/>
  <c r="AM62" i="566"/>
  <c r="AL62" i="566"/>
  <c r="AM52" i="566"/>
  <c r="AL52" i="566"/>
  <c r="AI18" i="566"/>
  <c r="AH18" i="566"/>
  <c r="AI16" i="566"/>
  <c r="AH16" i="566"/>
  <c r="AI15" i="566"/>
  <c r="AH15" i="566"/>
  <c r="AI14" i="566"/>
  <c r="AH14" i="566"/>
  <c r="AI13" i="566"/>
  <c r="AH13" i="566"/>
  <c r="AI12" i="566"/>
  <c r="AH12" i="566"/>
  <c r="AI11" i="566"/>
  <c r="AH11" i="566"/>
  <c r="AI10" i="566"/>
  <c r="AH10" i="566"/>
  <c r="AI9" i="566"/>
  <c r="AH9" i="566"/>
  <c r="AI7" i="566"/>
  <c r="AH7" i="566"/>
  <c r="AI6" i="566"/>
  <c r="AH6" i="566"/>
  <c r="AI5" i="566"/>
  <c r="AH5" i="566"/>
  <c r="AI4" i="566"/>
  <c r="AH4" i="566"/>
  <c r="AI3" i="566"/>
  <c r="AH3" i="566"/>
  <c r="AI22" i="3" a="1"/>
  <c r="AI52" i="3" a="1"/>
  <c r="AK37" i="3" a="1"/>
  <c r="AI42" i="3" a="1"/>
  <c r="AW62" i="3" a="1"/>
  <c r="AO42" i="3" a="1"/>
  <c r="AW14" i="3" a="1"/>
  <c r="AO61" i="3" a="1"/>
  <c r="AQ54" i="3" a="1"/>
  <c r="AK45" i="3" a="1"/>
  <c r="AP28" i="3" a="1"/>
  <c r="AT32" i="3" a="1"/>
  <c r="AO66" i="3" a="1"/>
  <c r="AL18" i="3" a="1"/>
  <c r="AS52" i="3" a="1"/>
  <c r="AW45" i="3" a="1"/>
  <c r="AX43" i="3" a="1"/>
  <c r="AU34" i="3" a="1"/>
  <c r="AO16" i="3" a="1"/>
  <c r="AO49" i="3" a="1"/>
  <c r="AR31" i="3" a="1"/>
  <c r="AI23" i="3" a="1"/>
  <c r="AQ44" i="3" a="1"/>
  <c r="AM62" i="3" a="1"/>
  <c r="AX79" i="3" a="1"/>
  <c r="AP23" i="3" a="1"/>
  <c r="AO63" i="3" a="1"/>
  <c r="AP39" i="3" a="1"/>
  <c r="AL49" i="3" a="1"/>
  <c r="AT27" i="3" a="1"/>
  <c r="AQ37" i="3" a="1"/>
  <c r="AV50" i="3" a="1"/>
  <c r="AQ55" i="3" a="1"/>
  <c r="AN15" i="3" a="1"/>
  <c r="AV36" i="3" a="1"/>
  <c r="AP78" i="3" a="1"/>
  <c r="AW30" i="3" a="1"/>
  <c r="AL77" i="3" a="1"/>
  <c r="AO26" i="3" a="1"/>
  <c r="AP29" i="3" a="1"/>
  <c r="AI59" i="3" a="1"/>
  <c r="AU65" i="3" a="1"/>
  <c r="AP73" i="3" a="1"/>
  <c r="AH56" i="3" a="1"/>
  <c r="AI67" i="3" a="1"/>
  <c r="AH21" i="3" a="1"/>
  <c r="AS19" i="3" a="1"/>
  <c r="AO59" i="3" a="1"/>
  <c r="AT17" i="3" a="1"/>
  <c r="AL52" i="3" a="1"/>
  <c r="AO36" i="3" a="1"/>
  <c r="AT72" i="3" a="1"/>
  <c r="AW72" i="3" a="1"/>
  <c r="AN65" i="3" a="1"/>
  <c r="AP19" i="3" a="1"/>
  <c r="AN30" i="3" a="1"/>
  <c r="AU51" i="3" a="1"/>
  <c r="AM64" i="3" a="1"/>
  <c r="AH51" i="3" a="1"/>
  <c r="AP68" i="3" a="1"/>
  <c r="AX28" i="3" a="1"/>
  <c r="AM18" i="3" a="1"/>
  <c r="AX80" i="3" a="1"/>
  <c r="AK41" i="3" a="1"/>
  <c r="AS28" i="3" a="1"/>
  <c r="AM61" i="3" a="1"/>
  <c r="AR79" i="3" a="1"/>
  <c r="AJ42" i="3" a="1"/>
  <c r="AI27" i="3" a="1"/>
  <c r="AJ56" i="3" a="1"/>
  <c r="AN40" i="3" a="1"/>
  <c r="AS27" i="3" a="1"/>
  <c r="AJ35" i="3" a="1"/>
  <c r="AQ16" i="3" a="1"/>
  <c r="AU57" i="3" a="1"/>
  <c r="AO74" i="3" a="1"/>
  <c r="AW53" i="3" a="1"/>
  <c r="AP50" i="3" a="1"/>
  <c r="AM57" i="3" a="1"/>
  <c r="AW48" i="3" a="1"/>
  <c r="AT57" i="3" a="1"/>
  <c r="AQ34" i="3" a="1"/>
  <c r="AU74" i="3" a="1"/>
  <c r="AT68" i="3" a="1"/>
  <c r="AO24" i="3" a="1"/>
  <c r="AV16" i="3" a="1"/>
  <c r="AP48" i="3" a="1"/>
  <c r="AS62" i="3" a="1"/>
  <c r="AQ62" i="3" a="1"/>
  <c r="AV70" i="3" a="1"/>
  <c r="AP40" i="3" a="1"/>
  <c r="AM54" i="3" a="1"/>
  <c r="AQ45" i="3" a="1"/>
  <c r="AN27" i="3" a="1"/>
  <c r="AV64" i="3" a="1"/>
  <c r="AU44" i="3" a="1"/>
  <c r="AS24" i="3" a="1"/>
  <c r="AS68" i="3" a="1"/>
  <c r="AO80" i="3" a="1"/>
  <c r="AV51" i="3" a="1"/>
  <c r="AJ38" i="3" a="1"/>
  <c r="AK74" i="3" a="1"/>
  <c r="AK38" i="3" a="1"/>
  <c r="AU19" i="3" a="1"/>
  <c r="AU77" i="3" a="1"/>
  <c r="AT50" i="3" a="1"/>
  <c r="AQ70" i="3" a="1"/>
  <c r="AH73" i="3" a="1"/>
  <c r="AL32" i="3" a="1"/>
  <c r="AK42" i="3" a="1"/>
  <c r="AK56" i="3" a="1"/>
  <c r="AL71" i="3" a="1"/>
  <c r="AH55" i="3" a="1"/>
  <c r="AN28" i="3" a="1"/>
  <c r="AH28" i="3" a="1"/>
  <c r="AJ52" i="3" a="1"/>
  <c r="AS29" i="3" a="1"/>
  <c r="AX67" i="3" a="1"/>
  <c r="AS33" i="3" a="1"/>
  <c r="AS32" i="3" a="1"/>
  <c r="AS78" i="3" a="1"/>
  <c r="AL23" i="3" a="1"/>
  <c r="AX39" i="3" a="1"/>
  <c r="AM68" i="3" a="1"/>
  <c r="AP54" i="3" a="1"/>
  <c r="AH47" i="3" a="1"/>
  <c r="AR30" i="3" a="1"/>
  <c r="AI65" i="3" a="1"/>
  <c r="AM60" i="3" a="1"/>
  <c r="AP46" i="3" a="1"/>
  <c r="AK31" i="3" a="1"/>
  <c r="AM63" i="3" a="1"/>
  <c r="AT36" i="3" a="1"/>
  <c r="AO32" i="3" a="1"/>
  <c r="AH35" i="3" a="1"/>
  <c r="AK29" i="3" a="1"/>
  <c r="AK34" i="3" a="1"/>
  <c r="AM74" i="3" a="1"/>
  <c r="AL58" i="3" a="1"/>
  <c r="AJ36" i="3" a="1"/>
  <c r="AV23" i="3" a="1"/>
  <c r="AJ33" i="3" a="1"/>
  <c r="AR74" i="3" a="1"/>
  <c r="AT78" i="3" a="1"/>
  <c r="AN57" i="3" a="1"/>
  <c r="AH60" i="3" a="1"/>
  <c r="AR27" i="3" a="1"/>
  <c r="AH53" i="3" a="1"/>
  <c r="AQ76" i="3" a="1"/>
  <c r="AM43" i="3" a="1"/>
  <c r="AM56" i="3" a="1"/>
  <c r="AN61" i="3" a="1"/>
  <c r="AJ21" i="3" a="1"/>
  <c r="AP22" i="3" a="1"/>
  <c r="AU80" i="3" a="1"/>
  <c r="AL41" i="3" a="1"/>
  <c r="AX56" i="3" a="1"/>
  <c r="AK73" i="3" a="1"/>
  <c r="AS43" i="3" a="1"/>
  <c r="AN22" i="3" a="1"/>
  <c r="AM37" i="3" a="1"/>
  <c r="AU68" i="3" a="1"/>
  <c r="AN52" i="3" a="1"/>
  <c r="AR61" i="3" a="1"/>
  <c r="AN25" i="3" a="1"/>
  <c r="AH44" i="3" a="1"/>
  <c r="AH69" i="3" a="1"/>
  <c r="AX36" i="3" a="1"/>
  <c r="AM23" i="3" a="1"/>
  <c r="AN32" i="3" a="1"/>
  <c r="AL36" i="3" a="1"/>
  <c r="AO55" i="3" a="1"/>
  <c r="AV27" i="3" a="1"/>
  <c r="AW22" i="3" a="1"/>
  <c r="AX17" i="3" a="1"/>
  <c r="AM44" i="3" a="1"/>
  <c r="AH30" i="3" a="1"/>
  <c r="AN33" i="3" a="1"/>
  <c r="AX51" i="3" a="1"/>
  <c r="AO19" i="3" a="1"/>
  <c r="AU35" i="3" a="1"/>
  <c r="AO33" i="3" a="1"/>
  <c r="AO45" i="3" a="1"/>
  <c r="AP76" i="3" a="1"/>
  <c r="AW56" i="3" a="1"/>
  <c r="AU16" i="3" a="1"/>
  <c r="AS31" i="3" a="1"/>
  <c r="AV66" i="3" a="1"/>
  <c r="AR25" i="3" a="1"/>
  <c r="AQ38" i="3" a="1"/>
  <c r="AX75" i="3" a="1"/>
  <c r="AI46" i="3" a="1"/>
  <c r="AU49" i="3" a="1"/>
  <c r="AI72" i="3" a="1"/>
  <c r="AT62" i="3" a="1"/>
  <c r="AQ71" i="3" a="1"/>
  <c r="AW35" i="3" a="1"/>
  <c r="AX20" i="3" a="1"/>
  <c r="AT74" i="3" a="1"/>
  <c r="AV60" i="3" a="1"/>
  <c r="AU22" i="3" a="1"/>
  <c r="AL31" i="3" a="1"/>
  <c r="AV59" i="3" a="1"/>
  <c r="AL21" i="3" a="1"/>
  <c r="AU72" i="3" a="1"/>
  <c r="AP18" i="3" a="1"/>
  <c r="AL26" i="3" a="1"/>
  <c r="AW73" i="3" a="1"/>
  <c r="AP59" i="3" a="1"/>
  <c r="AO40" i="3" a="1"/>
  <c r="AL64" i="3" a="1"/>
  <c r="AO30" i="3" a="1"/>
  <c r="AL54" i="3" a="1"/>
  <c r="AM27" i="3" a="1"/>
  <c r="AK25" i="3" a="1"/>
  <c r="AT53" i="3" a="1"/>
  <c r="AI77" i="3" a="1"/>
  <c r="AO44" i="3" a="1"/>
  <c r="AK36" i="3" a="1"/>
  <c r="AQ65" i="3" a="1"/>
  <c r="AJ48" i="3" a="1"/>
  <c r="AH14" i="3" a="1"/>
  <c r="AL24" i="3" a="1"/>
  <c r="AO28" i="3" a="1"/>
  <c r="AK49" i="3" a="1"/>
  <c r="AU53" i="3" a="1"/>
  <c r="AW19" i="3" a="1"/>
  <c r="AT46" i="3" a="1"/>
  <c r="AK76" i="3" a="1"/>
  <c r="AX57" i="3" a="1"/>
  <c r="AP64" i="3" a="1"/>
  <c r="AH65" i="3" a="1"/>
  <c r="AH72" i="3" a="1"/>
  <c r="AT34" i="3" a="1"/>
  <c r="AW27" i="3" a="1"/>
  <c r="AV73" i="3" a="1"/>
  <c r="AL63" i="3" a="1"/>
  <c r="AV62" i="3" a="1"/>
  <c r="AO21" i="3" a="1"/>
  <c r="AN55" i="3" a="1"/>
  <c r="AN14" i="3" a="1"/>
  <c r="AT60" i="3" a="1"/>
  <c r="AO79" i="3" a="1"/>
  <c r="AN37" i="3" a="1"/>
  <c r="AN80" i="3" a="1"/>
  <c r="AH25" i="3" a="1"/>
  <c r="AN78" i="3" a="1"/>
  <c r="AU46" i="3" a="1"/>
  <c r="AN60" i="3" a="1"/>
  <c r="AT77" i="3" a="1"/>
  <c r="AP35" i="3" a="1"/>
  <c r="AH75" i="3" a="1"/>
  <c r="AH41" i="3" a="1"/>
  <c r="AK58" i="3" a="1"/>
  <c r="AM55" i="3" a="1"/>
  <c r="AP27" i="3" a="1"/>
  <c r="AO48" i="3" a="1"/>
  <c r="AU71" i="3" a="1"/>
  <c r="AS23" i="3" a="1"/>
  <c r="AI74" i="3" a="1"/>
  <c r="AN66" i="3" a="1"/>
  <c r="AS71" i="3" a="1"/>
  <c r="AQ52" i="3" a="1"/>
  <c r="AO15" i="3" a="1"/>
  <c r="AO65" i="3" a="1"/>
  <c r="AP24" i="3" a="1"/>
  <c r="AW76" i="3" a="1"/>
  <c r="AI76" i="3" a="1"/>
  <c r="AV53" i="3" a="1"/>
  <c r="AU70" i="3" a="1"/>
  <c r="AV33" i="3" a="1"/>
  <c r="AR28" i="3" a="1"/>
  <c r="AR70" i="3" a="1"/>
  <c r="AU55" i="3" a="1"/>
  <c r="AJ41" i="3" a="1"/>
  <c r="AM42" i="3" a="1"/>
  <c r="AV38" i="3" a="1"/>
  <c r="AJ14" i="3" a="1"/>
  <c r="AW47" i="3" a="1"/>
  <c r="AM29" i="3" a="1"/>
  <c r="AM69" i="3" a="1"/>
  <c r="AH58" i="3" a="1"/>
  <c r="AN72" i="3" a="1"/>
  <c r="AU14" i="3" a="1"/>
  <c r="AR67" i="3" a="1"/>
  <c r="AJ78" i="3" a="1"/>
  <c r="AT30" i="3" a="1"/>
  <c r="AU15" i="3" a="1"/>
  <c r="AQ67" i="3" a="1"/>
  <c r="AV77" i="3" a="1"/>
  <c r="AR33" i="3" a="1"/>
  <c r="AW41" i="3" a="1"/>
  <c r="AP37" i="3" a="1"/>
  <c r="AM70" i="3" a="1"/>
  <c r="AM39" i="3" a="1"/>
  <c r="AH67" i="3" a="1"/>
  <c r="AI37" i="3" a="1"/>
  <c r="AK69" i="3" a="1"/>
  <c r="AP15" i="3" a="1"/>
  <c r="AL56" i="3" a="1"/>
  <c r="AS25" i="3" a="1"/>
  <c r="AH45" i="3" a="1"/>
  <c r="AW28" i="3" a="1"/>
  <c r="AN53" i="3" a="1"/>
  <c r="AH40" i="3" a="1"/>
  <c r="AU78" i="3" a="1"/>
  <c r="AI57" i="3" a="1"/>
  <c r="AT39" i="3" a="1"/>
  <c r="AL79" i="3" a="1"/>
  <c r="AR22" i="3" a="1"/>
  <c r="AI30" i="3" a="1"/>
  <c r="AP80" i="3" a="1"/>
  <c r="AV68" i="3" a="1"/>
  <c r="AT61" i="3" a="1"/>
  <c r="AV61" i="3" a="1"/>
  <c r="AJ49" i="3" a="1"/>
  <c r="AM52" i="3" a="1"/>
  <c r="AI43" i="3" a="1"/>
  <c r="AH31" i="3" a="1"/>
  <c r="AP57" i="3" a="1"/>
  <c r="AS69" i="3" a="1"/>
  <c r="AH78" i="3" a="1"/>
  <c r="AN17" i="3" a="1"/>
  <c r="AQ64" i="3" a="1"/>
  <c r="AX45" i="3" a="1"/>
  <c r="AP32" i="3" a="1"/>
  <c r="AQ78" i="3" a="1"/>
  <c r="AT22" i="3" a="1"/>
  <c r="AX60" i="3" a="1"/>
  <c r="AJ66" i="3" a="1"/>
  <c r="AQ56" i="3" a="1"/>
  <c r="AN73" i="3" a="1"/>
  <c r="AS70" i="3" a="1"/>
  <c r="AR55" i="3" a="1"/>
  <c r="AI15" i="3" a="1"/>
  <c r="AJ65" i="3" a="1"/>
  <c r="AK22" i="3" a="1"/>
  <c r="AQ43" i="3" a="1"/>
  <c r="AV79" i="3" a="1"/>
  <c r="AK15" i="3" a="1"/>
  <c r="AN35" i="3" a="1"/>
  <c r="AN16" i="3" a="1"/>
  <c r="AH22" i="3" a="1"/>
  <c r="AL43" i="3" a="1"/>
  <c r="AV75" i="3" a="1"/>
  <c r="AX46" i="3" a="1"/>
  <c r="AR78" i="3" a="1"/>
  <c r="AR56" i="3" a="1"/>
  <c r="AM15" i="3" a="1"/>
  <c r="AT18" i="3" a="1"/>
  <c r="AT65" i="3" a="1"/>
  <c r="AW36" i="3" a="1"/>
  <c r="AS53" i="3" a="1"/>
  <c r="AM58" i="3" a="1"/>
  <c r="AQ29" i="3" a="1"/>
  <c r="AW55" i="3" a="1"/>
  <c r="AK35" i="3" a="1"/>
  <c r="AR45" i="3" a="1"/>
  <c r="AM59" i="3" a="1"/>
  <c r="AO29" i="3" a="1"/>
  <c r="AR71" i="3" a="1"/>
  <c r="AO67" i="3" a="1"/>
  <c r="AM50" i="3" a="1"/>
  <c r="AJ45" i="3" a="1"/>
  <c r="AU27" i="3" a="1"/>
  <c r="AL55" i="3" a="1"/>
  <c r="AT63" i="3" a="1"/>
  <c r="AW58" i="3" a="1"/>
  <c r="AP62" i="3" a="1"/>
  <c r="AN31" i="3" a="1"/>
  <c r="AH70" i="3" a="1"/>
  <c r="AN69" i="3" a="1"/>
  <c r="AV54" i="3" a="1"/>
  <c r="AU36" i="3" a="1"/>
  <c r="AN56" i="3" a="1"/>
  <c r="AJ15" i="3" a="1"/>
  <c r="AL37" i="3" a="1"/>
  <c r="AQ50" i="3" a="1"/>
  <c r="AM14" i="3" a="1"/>
  <c r="AP69" i="3" a="1"/>
  <c r="AL74" i="3" a="1"/>
  <c r="AQ72" i="3" a="1"/>
  <c r="AX50" i="3" a="1"/>
  <c r="AR51" i="3" a="1"/>
  <c r="AS54" i="3" a="1"/>
  <c r="AH18" i="3" a="1"/>
  <c r="AO77" i="3" a="1"/>
  <c r="AI69" i="3" a="1"/>
  <c r="AQ53" i="3" a="1"/>
  <c r="AL72" i="3" a="1"/>
  <c r="AJ54" i="3" a="1"/>
  <c r="AW78" i="3" a="1"/>
  <c r="AR47" i="3" a="1"/>
  <c r="AI45" i="3" a="1"/>
  <c r="AM41" i="3" a="1"/>
  <c r="AO58" i="3" a="1"/>
  <c r="AO68" i="3" a="1"/>
  <c r="AU33" i="3" a="1"/>
  <c r="AN42" i="3" a="1"/>
  <c r="AI71" i="3" a="1"/>
  <c r="AX71" i="3" a="1"/>
  <c r="AU32" i="3" a="1"/>
  <c r="AV20" i="3" a="1"/>
  <c r="AU43" i="3" a="1"/>
  <c r="AU31" i="3" a="1"/>
  <c r="AL61" i="3" a="1"/>
  <c r="AW33" i="3" a="1"/>
  <c r="AX65" i="3" a="1"/>
  <c r="AP79" i="3" a="1"/>
  <c r="AN49" i="3" a="1"/>
  <c r="AK70" i="3" a="1"/>
  <c r="AN71" i="3" a="1"/>
  <c r="AS14" i="3" a="1"/>
  <c r="AT23" i="3" a="1"/>
  <c r="AK24" i="3" a="1"/>
  <c r="AM78" i="3" a="1"/>
  <c r="AU76" i="3" a="1"/>
  <c r="AL60" i="3" a="1"/>
  <c r="AT73" i="3" a="1"/>
  <c r="AO31" i="3" a="1"/>
  <c r="AP14" i="3" a="1"/>
  <c r="AR32" i="3" a="1"/>
  <c r="AP43" i="3" a="1"/>
  <c r="AK57" i="3" a="1"/>
  <c r="AX70" i="3" a="1"/>
  <c r="AK79" i="3" a="1"/>
  <c r="AX42" i="3" a="1"/>
  <c r="AQ41" i="3" a="1"/>
  <c r="AT28" i="3" a="1"/>
  <c r="AO17" i="3" a="1"/>
  <c r="AU66" i="3" a="1"/>
  <c r="AL34" i="3" a="1"/>
  <c r="AL67" i="3" a="1"/>
  <c r="AX31" i="3" a="1"/>
  <c r="AS18" i="3" a="1"/>
  <c r="AO39" i="3" a="1"/>
  <c r="AX29" i="3" a="1"/>
  <c r="AU25" i="3" a="1"/>
  <c r="AK44" i="3" a="1"/>
  <c r="AL57" i="3" a="1"/>
  <c r="AI58" i="3" a="1"/>
  <c r="AV14" i="3" a="1"/>
  <c r="AI17" i="3" a="1"/>
  <c r="AS42" i="3" a="1"/>
  <c r="AP33" i="3" a="1"/>
  <c r="AV72" i="3" a="1"/>
  <c r="AR59" i="3" a="1"/>
  <c r="AJ64" i="3" a="1"/>
  <c r="AJ30" i="3" a="1"/>
  <c r="AV49" i="3" a="1"/>
  <c r="AN51" i="3" a="1"/>
  <c r="AJ17" i="3" a="1"/>
  <c r="AW21" i="3" a="1"/>
  <c r="AR20" i="3" a="1"/>
  <c r="AH33" i="3" a="1"/>
  <c r="AW59" i="3" a="1"/>
  <c r="AH42" i="3" a="1"/>
  <c r="AM73" i="3" a="1"/>
  <c r="AP71" i="3" a="1"/>
  <c r="AT79" i="3" a="1"/>
  <c r="AM53" i="3" a="1"/>
  <c r="AU64" i="3" a="1"/>
  <c r="AJ25" i="3" a="1"/>
  <c r="AL50" i="3" a="1"/>
  <c r="AS55" i="3" a="1"/>
  <c r="AT76" i="3" a="1"/>
  <c r="AT47" i="3" a="1"/>
  <c r="AT16" i="3" a="1"/>
  <c r="AL39" i="3" a="1"/>
  <c r="AW39" i="3" a="1"/>
  <c r="AP66" i="3" a="1"/>
  <c r="AP25" i="3" a="1"/>
  <c r="AJ27" i="3" a="1"/>
  <c r="AK18" i="3" a="1"/>
  <c r="AR35" i="3" a="1"/>
  <c r="AU50" i="3" a="1"/>
  <c r="AM19" i="3" a="1"/>
  <c r="AO54" i="3" a="1"/>
  <c r="AS73" i="3" a="1"/>
  <c r="AX14" i="3" a="1"/>
  <c r="AI28" i="3" a="1"/>
  <c r="AI73" i="3" a="1"/>
  <c r="AV29" i="3" a="1"/>
  <c r="AK67" i="3" a="1"/>
  <c r="AH61" i="3" a="1"/>
  <c r="AQ36" i="3" a="1"/>
  <c r="AM36" i="3" a="1"/>
  <c r="AS76" i="3" a="1"/>
  <c r="AK61" i="3" a="1"/>
  <c r="AX40" i="3" a="1"/>
  <c r="AT66" i="3" a="1"/>
  <c r="AI38" i="3" a="1"/>
  <c r="AW79" i="3" a="1"/>
  <c r="AV40" i="3" a="1"/>
  <c r="AP16" i="3" a="1"/>
  <c r="AI16" i="3" a="1"/>
  <c r="AX44" i="3" a="1"/>
  <c r="AJ18" i="3" a="1"/>
  <c r="AK68" i="3" a="1"/>
  <c r="AT69" i="3" a="1"/>
  <c r="AQ25" i="3" a="1"/>
  <c r="AS67" i="3" a="1"/>
  <c r="AI39" i="3" a="1"/>
  <c r="AT37" i="3" a="1"/>
  <c r="AV76" i="3" a="1"/>
  <c r="AK30" i="3" a="1"/>
  <c r="AQ18" i="3" a="1"/>
  <c r="AH79" i="3" a="1"/>
  <c r="AO51" i="3" a="1"/>
  <c r="AQ57" i="3" a="1"/>
  <c r="AL28" i="3" a="1"/>
  <c r="AN26" i="3" a="1"/>
  <c r="AK63" i="3" a="1"/>
  <c r="AH62" i="3" a="1"/>
  <c r="AR69" i="3" a="1"/>
  <c r="AX32" i="3" a="1"/>
  <c r="AQ33" i="3" a="1"/>
  <c r="AI49" i="3" a="1"/>
  <c r="AN24" i="3" a="1"/>
  <c r="AV58" i="3" a="1"/>
  <c r="AS64" i="3" a="1"/>
  <c r="AW24" i="3" a="1"/>
  <c r="AQ60" i="3" a="1"/>
  <c r="AR63" i="3" a="1"/>
  <c r="AM20" i="3" a="1"/>
  <c r="AU38" i="3" a="1"/>
  <c r="AH77" i="3" a="1"/>
  <c r="AI75" i="3" a="1"/>
  <c r="AV21" i="3" a="1"/>
  <c r="AW18" i="3" a="1"/>
  <c r="AP60" i="3" a="1"/>
  <c r="AJ70" i="3" a="1"/>
  <c r="AU28" i="3" a="1"/>
  <c r="AH17" i="3" a="1"/>
  <c r="AH29" i="3" a="1"/>
  <c r="AW54" i="3" a="1"/>
  <c r="AK53" i="3" a="1"/>
  <c r="AI56" i="3" a="1"/>
  <c r="AI70" i="3" a="1"/>
  <c r="AH39" i="3" a="1"/>
  <c r="AQ58" i="3" a="1"/>
  <c r="AW70" i="3" a="1"/>
  <c r="AR72" i="3" a="1"/>
  <c r="AK21" i="3" a="1"/>
  <c r="AH20" i="3" a="1"/>
  <c r="AS48" i="3" a="1"/>
  <c r="AS57" i="3" a="1"/>
  <c r="AH24" i="3" a="1"/>
  <c r="AQ35" i="3" a="1"/>
  <c r="AO50" i="3" a="1"/>
  <c r="AX54" i="3" a="1"/>
  <c r="AR14" i="3" a="1"/>
  <c r="AO56" i="3" a="1"/>
  <c r="AK54" i="3" a="1"/>
  <c r="AX53" i="3" a="1"/>
  <c r="AJ22" i="3" a="1"/>
  <c r="AX22" i="3" a="1"/>
  <c r="AX33" i="3" a="1"/>
  <c r="AO64" i="3" a="1"/>
  <c r="AX35" i="3" a="1"/>
  <c r="AX49" i="3" a="1"/>
  <c r="AX30" i="3" a="1"/>
  <c r="AH59" i="3" a="1"/>
  <c r="AJ58" i="3" a="1"/>
  <c r="AU63" i="3" a="1"/>
  <c r="AK80" i="3" a="1"/>
  <c r="AV26" i="3" a="1"/>
  <c r="AU62" i="3" a="1"/>
  <c r="AW17" i="3" a="1"/>
  <c r="AO14" i="3" a="1"/>
  <c r="AI35" i="3" a="1"/>
  <c r="AR26" i="3" a="1"/>
  <c r="AP20" i="3" a="1"/>
  <c r="AI78" i="3" a="1"/>
  <c r="AT75" i="3" a="1"/>
  <c r="AM40" i="3" a="1"/>
  <c r="AJ47" i="3" a="1"/>
  <c r="AW75" i="3" a="1"/>
  <c r="AP49" i="3" a="1"/>
  <c r="AW63" i="3" a="1"/>
  <c r="AT40" i="3" a="1"/>
  <c r="AJ63" i="3" a="1"/>
  <c r="AT49" i="3" a="1"/>
  <c r="AM17" i="3" a="1"/>
  <c r="AS34" i="3" a="1"/>
  <c r="AR48" i="3" a="1"/>
  <c r="AH49" i="3" a="1"/>
  <c r="AL22" i="3" a="1"/>
  <c r="AL40" i="3" a="1"/>
  <c r="AK14" i="3" a="1"/>
  <c r="AO46" i="3" a="1"/>
  <c r="AP53" i="3" a="1"/>
  <c r="AJ43" i="3" a="1"/>
  <c r="AV19" i="3" a="1"/>
  <c r="AJ20" i="3" a="1"/>
  <c r="AI54" i="3" a="1"/>
  <c r="AX27" i="3" a="1"/>
  <c r="AS47" i="3" a="1"/>
  <c r="AP30" i="3" a="1"/>
  <c r="AJ29" i="3" a="1"/>
  <c r="AM76" i="3" a="1"/>
  <c r="AQ63" i="3" a="1"/>
  <c r="AW34" i="3" a="1"/>
  <c r="AJ37" i="3" a="1"/>
  <c r="AU20" i="3" a="1"/>
  <c r="AP77" i="3" a="1"/>
  <c r="AJ60" i="3" a="1"/>
  <c r="AH15" i="3" a="1"/>
  <c r="AX41" i="3" a="1"/>
  <c r="AV74" i="3" a="1"/>
  <c r="AN75" i="3" a="1"/>
  <c r="AJ28" i="3" a="1"/>
  <c r="AR77" i="3" a="1"/>
  <c r="AP31" i="3" a="1"/>
  <c r="AQ77" i="3" a="1"/>
  <c r="AS72" i="3" a="1"/>
  <c r="AK23" i="3" a="1"/>
  <c r="AO73" i="3" a="1"/>
  <c r="AT33" i="3" a="1"/>
  <c r="AQ26" i="3" a="1"/>
  <c r="AX47" i="3" a="1"/>
  <c r="AN47" i="3" a="1"/>
  <c r="AK71" i="3" a="1"/>
  <c r="AX78" i="3" a="1"/>
  <c r="AM75" i="3" a="1"/>
  <c r="AI32" i="3" a="1"/>
  <c r="AT55" i="3" a="1"/>
  <c r="AL35" i="3" a="1"/>
  <c r="AP17" i="3" a="1"/>
  <c r="AX69" i="3" a="1"/>
  <c r="AL48" i="3" a="1"/>
  <c r="AQ47" i="3" a="1"/>
  <c r="AU48" i="3" a="1"/>
  <c r="AH57" i="3" a="1"/>
  <c r="AN63" i="3" a="1"/>
  <c r="AQ42" i="3" a="1"/>
  <c r="AN38" i="3" a="1"/>
  <c r="AX64" i="3" a="1"/>
  <c r="AT20" i="3" a="1"/>
  <c r="AN44" i="3" a="1"/>
  <c r="AI50" i="3" a="1"/>
  <c r="AX61" i="3" a="1"/>
  <c r="AL27" i="3" a="1"/>
  <c r="AI26" i="3" a="1"/>
  <c r="AJ79" i="3" a="1"/>
  <c r="AM51" i="3" a="1"/>
  <c r="AX18" i="3" a="1"/>
  <c r="AJ68" i="3" a="1"/>
  <c r="AL30" i="3" a="1"/>
  <c r="AR49" i="3" a="1"/>
  <c r="AS15" i="3" a="1"/>
  <c r="AP47" i="3" a="1"/>
  <c r="AQ74" i="3" a="1"/>
  <c r="AU45" i="3" a="1"/>
  <c r="AT67" i="3" a="1"/>
  <c r="AV47" i="3" a="1"/>
  <c r="AW46" i="3" a="1"/>
  <c r="AJ74" i="3" a="1"/>
  <c r="AW32" i="3" a="1"/>
  <c r="AR34" i="3" a="1"/>
  <c r="AV80" i="3" a="1"/>
  <c r="AI80" i="3" a="1"/>
  <c r="AH16" i="3" a="1"/>
  <c r="AR76" i="3" a="1"/>
  <c r="AX16" i="3" a="1"/>
  <c r="AI29" i="3" a="1"/>
  <c r="AK75" i="3" a="1"/>
  <c r="AV52" i="3" a="1"/>
  <c r="AL78" i="3" a="1"/>
  <c r="AK46" i="3" a="1"/>
  <c r="AI25" i="3" a="1"/>
  <c r="AV78" i="3" a="1"/>
  <c r="AI53" i="3" a="1"/>
  <c r="AJ72" i="3" a="1"/>
  <c r="AJ59" i="3" a="1"/>
  <c r="AK64" i="3" a="1"/>
  <c r="AM22" i="3" a="1"/>
  <c r="AR50" i="3" a="1"/>
  <c r="AN45" i="3" a="1"/>
  <c r="AV28" i="3" a="1"/>
  <c r="AK66" i="3" a="1"/>
  <c r="AR19" i="3" a="1"/>
  <c r="AI21" i="3" a="1"/>
  <c r="AO69" i="3" a="1"/>
  <c r="AQ30" i="3" a="1"/>
  <c r="AL46" i="3" a="1"/>
  <c r="AN20" i="3" a="1"/>
  <c r="AX73" i="3" a="1"/>
  <c r="AO75" i="3" a="1"/>
  <c r="AQ39" i="3" a="1"/>
  <c r="AS40" i="3" a="1"/>
  <c r="AR73" i="3" a="1"/>
  <c r="AN21" i="3" a="1"/>
  <c r="AU23" i="3" a="1"/>
  <c r="AN36" i="3" a="1"/>
  <c r="AR38" i="3" a="1"/>
  <c r="AL65" i="3" a="1"/>
  <c r="AV69" i="3" a="1"/>
  <c r="AT80" i="3" a="1"/>
  <c r="AP34" i="3" a="1"/>
  <c r="AL16" i="3" a="1"/>
  <c r="AO43" i="3" a="1"/>
  <c r="AK40" i="3" a="1"/>
  <c r="AM65" i="3" a="1"/>
  <c r="AR62" i="3" a="1"/>
  <c r="AH19" i="3" a="1"/>
  <c r="AT58" i="3" a="1"/>
  <c r="AI60" i="3" a="1"/>
  <c r="AN76" i="3" a="1"/>
  <c r="AW43" i="3" a="1"/>
  <c r="AN54" i="3" a="1"/>
  <c r="AW52" i="3" a="1"/>
  <c r="AJ39" i="3" a="1"/>
  <c r="AL53" i="3" a="1"/>
  <c r="AV25" i="3" a="1"/>
  <c r="AN79" i="3" a="1"/>
  <c r="AV56" i="3" a="1"/>
  <c r="AN68" i="3" a="1"/>
  <c r="AS20" i="3" a="1"/>
  <c r="AT42" i="3" a="1"/>
  <c r="AV39" i="3" a="1"/>
  <c r="AX68" i="3" a="1"/>
  <c r="AT15" i="3" a="1"/>
  <c r="AO78" i="3" a="1"/>
  <c r="AN67" i="3" a="1"/>
  <c r="AN70" i="3" a="1"/>
  <c r="AW38" i="3" a="1"/>
  <c r="AI20" i="3" a="1"/>
  <c r="AR58" i="3" a="1"/>
  <c r="AO57" i="3" a="1"/>
  <c r="AP36" i="3" a="1"/>
  <c r="AQ79" i="3" a="1"/>
  <c r="AQ32" i="3" a="1"/>
  <c r="AW67" i="3" a="1"/>
  <c r="AV46" i="3" a="1"/>
  <c r="AN48" i="3" a="1"/>
  <c r="AO18" i="3" a="1"/>
  <c r="AO41" i="3" a="1"/>
  <c r="AQ68" i="3" a="1"/>
  <c r="AS16" i="3" a="1"/>
  <c r="AP52" i="3" a="1"/>
  <c r="AQ23" i="3" a="1"/>
  <c r="AT44" i="3" a="1"/>
  <c r="AT35" i="3" a="1"/>
  <c r="AL42" i="3" a="1"/>
  <c r="AL29" i="3" a="1"/>
  <c r="AH74" i="3" a="1"/>
  <c r="AU21" i="3" a="1"/>
  <c r="AW50" i="3" a="1"/>
  <c r="AH52" i="3" a="1"/>
  <c r="AJ69" i="3" a="1"/>
  <c r="AU69" i="3" a="1"/>
  <c r="AL66" i="3" a="1"/>
  <c r="AR60" i="3" a="1"/>
  <c r="AQ28" i="3" a="1"/>
  <c r="AL38" i="3" a="1"/>
  <c r="AH34" i="3" a="1"/>
  <c r="AP51" i="3" a="1"/>
  <c r="AR17" i="3" a="1"/>
  <c r="AW44" i="3" a="1"/>
  <c r="AH26" i="3" a="1"/>
  <c r="AS39" i="3" a="1"/>
  <c r="AM48" i="3" a="1"/>
  <c r="AQ80" i="3" a="1"/>
  <c r="AX77" i="3" a="1"/>
  <c r="AT41" i="3" a="1"/>
  <c r="AP42" i="3" a="1"/>
  <c r="AP41" i="3" a="1"/>
  <c r="AQ17" i="3" a="1"/>
  <c r="AK47" i="3" a="1"/>
  <c r="AW42" i="3" a="1"/>
  <c r="AM32" i="3" a="1"/>
  <c r="AM21" i="3" a="1"/>
  <c r="AH63" i="3" a="1"/>
  <c r="AL19" i="3" a="1"/>
  <c r="AQ14" i="3" a="1"/>
  <c r="AR39" i="3" a="1"/>
  <c r="AP75" i="3" a="1"/>
  <c r="AQ66" i="3" a="1"/>
  <c r="AI34" i="3" a="1"/>
  <c r="AI14" i="3" a="1"/>
  <c r="AR54" i="3" a="1"/>
  <c r="AH48" i="3" a="1"/>
  <c r="AL75" i="3" a="1"/>
  <c r="AH71" i="3" a="1"/>
  <c r="AL25" i="3" a="1"/>
  <c r="AO25" i="3" a="1"/>
  <c r="AI33" i="3" a="1"/>
  <c r="AJ51" i="3" a="1"/>
  <c r="AQ27" i="3" a="1"/>
  <c r="AP26" i="3" a="1"/>
  <c r="AW60" i="3" a="1"/>
  <c r="AJ77" i="3" a="1"/>
  <c r="AW37" i="3" a="1"/>
  <c r="AP72" i="3" a="1"/>
  <c r="AX58" i="3" a="1"/>
  <c r="AK20" i="3" a="1"/>
  <c r="AX76" i="3" a="1"/>
  <c r="AQ15" i="3" a="1"/>
  <c r="AP56" i="3" a="1"/>
  <c r="AN43" i="3" a="1"/>
  <c r="AI36" i="3" a="1"/>
  <c r="AR36" i="3" a="1"/>
  <c r="AN74" i="3" a="1"/>
  <c r="AV35" i="3" a="1"/>
  <c r="AX19" i="3" a="1"/>
  <c r="AU30" i="3" a="1"/>
  <c r="AM67" i="3" a="1"/>
  <c r="AX72" i="3" a="1"/>
  <c r="AK51" i="3" a="1"/>
  <c r="AJ19" i="3" a="1"/>
  <c r="AH50" i="3" a="1"/>
  <c r="AX26" i="3" a="1"/>
  <c r="AV42" i="3" a="1"/>
  <c r="AU56" i="3" a="1"/>
  <c r="AH36" i="3" a="1"/>
  <c r="AO72" i="3" a="1"/>
  <c r="AI62" i="3" a="1"/>
  <c r="AH27" i="3" a="1"/>
  <c r="AM45" i="3" a="1"/>
  <c r="AX66" i="3" a="1"/>
  <c r="AO27" i="3" a="1"/>
  <c r="AW31" i="3" a="1"/>
  <c r="AJ67" i="3" a="1"/>
  <c r="AT19" i="3" a="1"/>
  <c r="AS37" i="3" a="1"/>
  <c r="AO34" i="3" a="1"/>
  <c r="AK32" i="3" a="1"/>
  <c r="AO70" i="3" a="1"/>
  <c r="AK78" i="3" a="1"/>
  <c r="AH80" i="3" a="1"/>
  <c r="AM24" i="3" a="1"/>
  <c r="AK39" i="3" a="1"/>
  <c r="AQ31" i="3" a="1"/>
  <c r="AO52" i="3" a="1"/>
  <c r="AI48" i="3" a="1"/>
  <c r="AW20" i="3" a="1"/>
  <c r="AJ73" i="3" a="1"/>
  <c r="AX55" i="3" a="1"/>
  <c r="AW16" i="3" a="1"/>
  <c r="AN34" i="3" a="1"/>
  <c r="AV41" i="3" a="1"/>
  <c r="AW23" i="3" a="1"/>
  <c r="AI68" i="3" a="1"/>
  <c r="AX37" i="3" a="1"/>
  <c r="AI31" i="3" a="1"/>
  <c r="AS74" i="3" a="1"/>
  <c r="AL76" i="3" a="1"/>
  <c r="AW26" i="3" a="1"/>
  <c r="AI19" i="3" a="1"/>
  <c r="AM46" i="3" a="1"/>
  <c r="AS45" i="3" a="1"/>
  <c r="AM33" i="3" a="1"/>
  <c r="AO23" i="3" a="1"/>
  <c r="AJ32" i="3" a="1"/>
  <c r="AP61" i="3" a="1"/>
  <c r="AV45" i="3" a="1"/>
  <c r="AJ62" i="3" a="1"/>
  <c r="AM35" i="3" a="1"/>
  <c r="AV30" i="3" a="1"/>
  <c r="AL69" i="3" a="1"/>
  <c r="AV44" i="3" a="1"/>
  <c r="AM79" i="3" a="1"/>
  <c r="AJ40" i="3" a="1"/>
  <c r="AV34" i="3" a="1"/>
  <c r="AO60" i="3" a="1"/>
  <c r="AU39" i="3" a="1"/>
  <c r="AW69" i="3" a="1"/>
  <c r="AK16" i="3" a="1"/>
  <c r="AI61" i="3" a="1"/>
  <c r="AU18" i="3" a="1"/>
  <c r="AV17" i="3" a="1"/>
  <c r="AM72" i="3" a="1"/>
  <c r="AP70" i="3" a="1"/>
  <c r="AL45" i="3" a="1"/>
  <c r="AR24" i="3" a="1"/>
  <c r="AH43" i="3" a="1"/>
  <c r="AL62" i="3" a="1"/>
  <c r="AK77" i="3" a="1"/>
  <c r="AS17" i="3" a="1"/>
  <c r="AS61" i="3" a="1"/>
  <c r="AP63" i="3" a="1"/>
  <c r="AV24" i="3" a="1"/>
  <c r="AT29" i="3" a="1"/>
  <c r="AS58" i="3" a="1"/>
  <c r="AR75" i="3" a="1"/>
  <c r="AS79" i="3" a="1"/>
  <c r="AH37" i="3" a="1"/>
  <c r="AI40" i="3" a="1"/>
  <c r="AJ71" i="3" a="1"/>
  <c r="AS22" i="3" a="1"/>
  <c r="AQ61" i="3" a="1"/>
  <c r="AR43" i="3" a="1"/>
  <c r="AR65" i="3" a="1"/>
  <c r="AR80" i="3" a="1"/>
  <c r="AW64" i="3" a="1"/>
  <c r="AQ48" i="3" a="1"/>
  <c r="AH66" i="3" a="1"/>
  <c r="AI63" i="3" a="1"/>
  <c r="AO37" i="3" a="1"/>
  <c r="AT45" i="3" a="1"/>
  <c r="AV31" i="3" a="1"/>
  <c r="AM71" i="3" a="1"/>
  <c r="AQ49" i="3" a="1"/>
  <c r="AS80" i="3" a="1"/>
  <c r="AI24" i="3" a="1"/>
  <c r="AQ22" i="3" a="1"/>
  <c r="AH38" i="3" a="1"/>
  <c r="AU26" i="3" a="1"/>
  <c r="AL70" i="3" a="1"/>
  <c r="AQ69" i="3" a="1"/>
  <c r="AM77" i="3" a="1"/>
  <c r="AM66" i="3" a="1"/>
  <c r="AT48" i="3" a="1"/>
  <c r="AP58" i="3" a="1"/>
  <c r="AJ26" i="3" a="1"/>
  <c r="AP67" i="3" a="1"/>
  <c r="AJ46" i="3" a="1"/>
  <c r="AS60" i="3" a="1"/>
  <c r="AU61" i="3" a="1"/>
  <c r="AJ80" i="3" a="1"/>
  <c r="AL51" i="3" a="1"/>
  <c r="AJ24" i="3" a="1"/>
  <c r="AN62" i="3" a="1"/>
  <c r="AV63" i="3" a="1"/>
  <c r="AL17" i="3" a="1"/>
  <c r="AL47" i="3" a="1"/>
  <c r="AM49" i="3" a="1"/>
  <c r="AK65" i="3" a="1"/>
  <c r="AT64" i="3" a="1"/>
  <c r="AP38" i="3" a="1"/>
  <c r="AR66" i="3" a="1"/>
  <c r="AJ34" i="3" a="1"/>
  <c r="AI18" i="3" a="1"/>
  <c r="AT26" i="3" a="1"/>
  <c r="AV57" i="3" a="1"/>
  <c r="AR16" i="3" a="1"/>
  <c r="AT21" i="3" a="1"/>
  <c r="AM16" i="3" a="1"/>
  <c r="AH23" i="3" a="1"/>
  <c r="AI44" i="3" a="1"/>
  <c r="AL80" i="3" a="1"/>
  <c r="AS21" i="3" a="1"/>
  <c r="AT24" i="3" a="1"/>
  <c r="AJ53" i="3" a="1"/>
  <c r="AU42" i="3" a="1"/>
  <c r="AK48" i="3" a="1"/>
  <c r="AR29" i="3" a="1"/>
  <c r="AP65" i="3" a="1"/>
  <c r="AL15" i="3" a="1"/>
  <c r="AJ57" i="3" a="1"/>
  <c r="AQ46" i="3" a="1"/>
  <c r="AT54" i="3" a="1"/>
  <c r="AJ31" i="3" a="1"/>
  <c r="AQ73" i="3" a="1"/>
  <c r="AH32" i="3" a="1"/>
  <c r="AW77" i="3" a="1"/>
  <c r="AN19" i="3" a="1"/>
  <c r="AI47" i="3" a="1"/>
  <c r="AU73" i="3" a="1"/>
  <c r="AJ23" i="3" a="1"/>
  <c r="AV15" i="3" a="1"/>
  <c r="AS75" i="3" a="1"/>
  <c r="AU29" i="3" a="1"/>
  <c r="AU47" i="3" a="1"/>
  <c r="AN41" i="3" a="1"/>
  <c r="AU75" i="3" a="1"/>
  <c r="AT56" i="3" a="1"/>
  <c r="AP55" i="3" a="1"/>
  <c r="AI51" i="3" a="1"/>
  <c r="AS63" i="3" a="1"/>
  <c r="AS50" i="3" a="1"/>
  <c r="AL73" i="3" a="1"/>
  <c r="AL59" i="3" a="1"/>
  <c r="AV32" i="3" a="1"/>
  <c r="AX52" i="3" a="1"/>
  <c r="AV55" i="3" a="1"/>
  <c r="AQ21" i="3" a="1"/>
  <c r="AO76" i="3" a="1"/>
  <c r="AS77" i="3" a="1"/>
  <c r="AO53" i="3" a="1"/>
  <c r="AW80" i="3" a="1"/>
  <c r="AI79" i="3" a="1"/>
  <c r="AQ59" i="3" a="1"/>
  <c r="AJ55" i="3" a="1"/>
  <c r="AW29" i="3" a="1"/>
  <c r="AM25" i="3" a="1"/>
  <c r="AM31" i="3" a="1"/>
  <c r="AX38" i="3" a="1"/>
  <c r="AP45" i="3" a="1"/>
  <c r="AL14" i="3" a="1"/>
  <c r="AS49" i="3" a="1"/>
  <c r="AT14" i="3" a="1"/>
  <c r="AT51" i="3" a="1"/>
  <c r="AN77" i="3" a="1"/>
  <c r="AK50" i="3" a="1"/>
  <c r="AW51" i="3" a="1"/>
  <c r="AW40" i="3" a="1"/>
  <c r="AW65" i="3" a="1"/>
  <c r="AS66" i="3" a="1"/>
  <c r="AR53" i="3" a="1"/>
  <c r="AW66" i="3" a="1"/>
  <c r="AI41" i="3" a="1"/>
  <c r="AN29" i="3" a="1"/>
  <c r="AX21" i="3" a="1"/>
  <c r="AS65" i="3" a="1"/>
  <c r="AX34" i="3" a="1"/>
  <c r="AO38" i="3" a="1"/>
  <c r="AV71" i="3" a="1"/>
  <c r="AL44" i="3" a="1"/>
  <c r="AU79" i="3" a="1"/>
  <c r="AU54" i="3" a="1"/>
  <c r="AQ19" i="3" a="1"/>
  <c r="AP74" i="3" a="1"/>
  <c r="AI66" i="3" a="1"/>
  <c r="AM38" i="3" a="1"/>
  <c r="AR52" i="3" a="1"/>
  <c r="AS38" i="3" a="1"/>
  <c r="AJ61" i="3" a="1"/>
  <c r="AH76" i="3" a="1"/>
  <c r="AX15" i="3" a="1"/>
  <c r="AS46" i="3" a="1"/>
  <c r="AU52" i="3" a="1"/>
  <c r="AR57" i="3" a="1"/>
  <c r="AI64" i="3" a="1"/>
  <c r="AI55" i="3" a="1"/>
  <c r="AT71" i="3" a="1"/>
  <c r="AU40" i="3" a="1"/>
  <c r="AV22" i="3" a="1"/>
  <c r="AV18" i="3" a="1"/>
  <c r="AJ75" i="3" a="1"/>
  <c r="AQ51" i="3" a="1"/>
  <c r="AU59" i="3" a="1"/>
  <c r="AW68" i="3" a="1"/>
  <c r="AK60" i="3" a="1"/>
  <c r="AR42" i="3" a="1"/>
  <c r="AK19" i="3" a="1"/>
  <c r="AN18" i="3" a="1"/>
  <c r="AX63" i="3" a="1"/>
  <c r="AV67" i="3" a="1"/>
  <c r="AS56" i="3" a="1"/>
  <c r="AO35" i="3" a="1"/>
  <c r="AV37" i="3" a="1"/>
  <c r="AM30" i="3" a="1"/>
  <c r="AT59" i="3" a="1"/>
  <c r="AQ24" i="3" a="1"/>
  <c r="AU41" i="3" a="1"/>
  <c r="AS59" i="3" a="1"/>
  <c r="AR40" i="3" a="1"/>
  <c r="AS26" i="3" a="1"/>
  <c r="AK55" i="3" a="1"/>
  <c r="AQ75" i="3" a="1"/>
  <c r="AR68" i="3" a="1"/>
  <c r="AU67" i="3" a="1"/>
  <c r="AH64" i="3" a="1"/>
  <c r="AM47" i="3" a="1"/>
  <c r="AP44" i="3" a="1"/>
  <c r="AX23" i="3" a="1"/>
  <c r="AV43" i="3" a="1"/>
  <c r="AT38" i="3" a="1"/>
  <c r="AV48" i="3" a="1"/>
  <c r="AW15" i="3" a="1"/>
  <c r="AS41" i="3" a="1"/>
  <c r="AO62" i="3" a="1"/>
  <c r="AU24" i="3" a="1"/>
  <c r="AJ44" i="3" a="1"/>
  <c r="AK72" i="3" a="1"/>
  <c r="AO47" i="3" a="1"/>
  <c r="AK62" i="3" a="1"/>
  <c r="AR37" i="3" a="1"/>
  <c r="AT43" i="3" a="1"/>
  <c r="AQ40" i="3" a="1"/>
  <c r="AK26" i="3" a="1"/>
  <c r="AK33" i="3" a="1"/>
  <c r="AX48" i="3" a="1"/>
  <c r="AN58" i="3" a="1"/>
  <c r="AU37" i="3" a="1"/>
  <c r="AJ50" i="3" a="1"/>
  <c r="AN59" i="3" a="1"/>
  <c r="AM80" i="3" a="1"/>
  <c r="AQ20" i="3" a="1"/>
  <c r="AN39" i="3" a="1"/>
  <c r="AX25" i="3" a="1"/>
  <c r="AM26" i="3" a="1"/>
  <c r="AT52" i="3" a="1"/>
  <c r="AH54" i="3" a="1"/>
  <c r="AW57" i="3" a="1"/>
  <c r="AR15" i="3" a="1"/>
  <c r="AN50" i="3" a="1"/>
  <c r="AH68" i="3" a="1"/>
  <c r="AU17" i="3" a="1"/>
  <c r="AT70" i="3" a="1"/>
  <c r="AS35" i="3" a="1"/>
  <c r="AN23" i="3" a="1"/>
  <c r="AS30" i="3" a="1"/>
  <c r="AK27" i="3" a="1"/>
  <c r="AK28" i="3" a="1"/>
  <c r="AK43" i="3" a="1"/>
  <c r="AT25" i="3" a="1"/>
  <c r="AW74" i="3" a="1"/>
  <c r="AM34" i="3" a="1"/>
  <c r="AS44" i="3" a="1"/>
  <c r="AS36" i="3" a="1"/>
  <c r="AK17" i="3" a="1"/>
  <c r="AX59" i="3" a="1"/>
  <c r="AL20" i="3" a="1"/>
  <c r="AW71" i="3" a="1"/>
  <c r="AR46" i="3" a="1"/>
  <c r="AX62" i="3" a="1"/>
  <c r="AO71" i="3" a="1"/>
  <c r="AK52" i="3" a="1"/>
  <c r="AV65" i="3" a="1"/>
  <c r="AW49" i="3" a="1"/>
  <c r="AL68" i="3" a="1"/>
  <c r="AW61" i="3" a="1"/>
  <c r="AR21" i="3" a="1"/>
  <c r="AJ16" i="3" a="1"/>
  <c r="AR44" i="3" a="1"/>
  <c r="AW25" i="3" a="1"/>
  <c r="AO22" i="3" a="1"/>
  <c r="AN64" i="3" a="1"/>
  <c r="AK59" i="3" a="1"/>
  <c r="AX24" i="3" a="1"/>
  <c r="AL33" i="3" a="1"/>
  <c r="AJ76" i="3" a="1"/>
  <c r="AS51" i="3" a="1"/>
  <c r="AU58" i="3" a="1"/>
  <c r="AH46" i="3" a="1"/>
  <c r="AO20" i="3" a="1"/>
  <c r="AM28" i="3" a="1"/>
  <c r="AT31" i="3" a="1"/>
  <c r="AN46" i="3" a="1"/>
  <c r="AU60" i="3" a="1"/>
  <c r="AP21" i="3" a="1"/>
  <c r="AR41" i="3" a="1"/>
  <c r="AR23" i="3" a="1"/>
  <c r="AR64" i="3" a="1"/>
  <c r="AX74" i="3" a="1"/>
  <c r="AR18" i="3" a="1"/>
  <c r="AQ78" i="566" l="1"/>
  <c r="AP78" i="566"/>
  <c r="AP74" i="566"/>
  <c r="AQ74" i="566"/>
  <c r="AP80" i="566"/>
  <c r="AQ80" i="566"/>
  <c r="AP77" i="566"/>
  <c r="AQ77" i="566"/>
  <c r="AP68" i="566"/>
  <c r="AQ68" i="566"/>
  <c r="AQ81" i="566"/>
  <c r="AP81" i="566"/>
  <c r="AQ75" i="566"/>
  <c r="AP75" i="566"/>
  <c r="AQ72" i="566"/>
  <c r="AP72" i="566"/>
  <c r="AQ70" i="566"/>
  <c r="AP70" i="566"/>
  <c r="AQ79" i="566"/>
  <c r="AP79" i="566"/>
  <c r="AQ76" i="566"/>
  <c r="AP76" i="566"/>
  <c r="AP71" i="566"/>
  <c r="AQ71" i="566"/>
  <c r="AQ73" i="566"/>
  <c r="AP73" i="566"/>
  <c r="AQ69" i="566"/>
  <c r="AP69" i="566"/>
  <c r="AJ34" i="3"/>
  <c r="AW53" i="3"/>
  <c r="AR60" i="3"/>
  <c r="AN51" i="3"/>
  <c r="AV72" i="3"/>
  <c r="AV43" i="3"/>
  <c r="AT16" i="3"/>
  <c r="AT74" i="3"/>
  <c r="AX64" i="3"/>
  <c r="AV21" i="3"/>
  <c r="AR35" i="3"/>
  <c r="AU49" i="3"/>
  <c r="AR57" i="3"/>
  <c r="AI42" i="3"/>
  <c r="AS48" i="3"/>
  <c r="AH41" i="3"/>
  <c r="AH31" i="3"/>
  <c r="AJ37" i="3"/>
  <c r="AN50" i="3"/>
  <c r="AR51" i="3"/>
  <c r="AU34" i="3"/>
  <c r="AV58" i="3"/>
  <c r="AH64" i="3"/>
  <c r="AN33" i="3"/>
  <c r="AM34" i="3"/>
  <c r="AP22" i="3"/>
  <c r="AS77" i="3"/>
  <c r="AT67" i="3"/>
  <c r="AH40" i="3"/>
  <c r="AR80" i="3"/>
  <c r="AQ33" i="3"/>
  <c r="AW18" i="3"/>
  <c r="AP19" i="3"/>
  <c r="AJ63" i="3"/>
  <c r="AS37" i="3"/>
  <c r="AN48" i="3"/>
  <c r="AU66" i="3"/>
  <c r="AN64" i="3"/>
  <c r="AW73" i="3"/>
  <c r="AU73" i="3"/>
  <c r="AO38" i="3"/>
  <c r="AW19" i="3"/>
  <c r="AW68" i="3"/>
  <c r="AS32" i="3"/>
  <c r="AW72" i="3"/>
  <c r="AT73" i="3"/>
  <c r="AX38" i="3"/>
  <c r="AS15" i="3"/>
  <c r="AM50" i="3"/>
  <c r="AO51" i="3"/>
  <c r="AI14" i="3"/>
  <c r="AN71" i="3"/>
  <c r="AT33" i="3"/>
  <c r="AS20" i="3"/>
  <c r="AV19" i="3"/>
  <c r="AV27" i="3"/>
  <c r="AN62" i="3"/>
  <c r="AP41" i="3"/>
  <c r="AQ15" i="3"/>
  <c r="AJ56" i="3"/>
  <c r="AN17" i="3"/>
  <c r="AU80" i="3"/>
  <c r="AR63" i="3"/>
  <c r="AX49" i="3"/>
  <c r="AV60" i="3"/>
  <c r="AT79" i="3"/>
  <c r="AW56" i="3"/>
  <c r="AS68" i="3"/>
  <c r="AK38" i="3"/>
  <c r="AW48" i="3"/>
  <c r="AP20" i="3"/>
  <c r="AQ20" i="3"/>
  <c r="AR42" i="3"/>
  <c r="AM44" i="3"/>
  <c r="AJ32" i="3"/>
  <c r="AR34" i="3"/>
  <c r="AO40" i="3"/>
  <c r="AU68" i="3"/>
  <c r="AI48" i="3"/>
  <c r="AW80" i="3"/>
  <c r="AJ46" i="3"/>
  <c r="AV77" i="3"/>
  <c r="AJ30" i="3"/>
  <c r="AM54" i="3"/>
  <c r="AP80" i="3"/>
  <c r="AR58" i="3"/>
  <c r="AS59" i="3"/>
  <c r="AR53" i="3"/>
  <c r="AM28" i="3"/>
  <c r="AO29" i="3"/>
  <c r="AO41" i="3"/>
  <c r="AX79" i="3"/>
  <c r="AQ80" i="3"/>
  <c r="AP33" i="3"/>
  <c r="AW16" i="3"/>
  <c r="AK37" i="3"/>
  <c r="AL16" i="3"/>
  <c r="AW28" i="3"/>
  <c r="AV16" i="3"/>
  <c r="AS62" i="3"/>
  <c r="AR30" i="3"/>
  <c r="AU15" i="3"/>
  <c r="AV57" i="3"/>
  <c r="AL24" i="3"/>
  <c r="AX31" i="3"/>
  <c r="AS18" i="3"/>
  <c r="AN77" i="3"/>
  <c r="AK30" i="3"/>
  <c r="AM24" i="3"/>
  <c r="AX56" i="3"/>
  <c r="AM68" i="3"/>
  <c r="AW55" i="3"/>
  <c r="AV33" i="3"/>
  <c r="AO79" i="3"/>
  <c r="AJ65" i="3"/>
  <c r="AR73" i="3"/>
  <c r="AT31" i="3"/>
  <c r="AV80" i="3"/>
  <c r="AU65" i="3"/>
  <c r="AP30" i="3"/>
  <c r="AI66" i="3"/>
  <c r="AN38" i="3"/>
  <c r="AJ53" i="3"/>
  <c r="AX23" i="3"/>
  <c r="AW45" i="3"/>
  <c r="AX42" i="3"/>
  <c r="AO24" i="3"/>
  <c r="AP54" i="3"/>
  <c r="AX51" i="3"/>
  <c r="AS52" i="3"/>
  <c r="AQ66" i="3"/>
  <c r="AK73" i="3"/>
  <c r="AQ22" i="3"/>
  <c r="AO60" i="3"/>
  <c r="AP60" i="3"/>
  <c r="AN53" i="3"/>
  <c r="AR56" i="3"/>
  <c r="AN74" i="3"/>
  <c r="AT36" i="3"/>
  <c r="AL36" i="3"/>
  <c r="AM65" i="3"/>
  <c r="AM31" i="3"/>
  <c r="AI29" i="3"/>
  <c r="AM63" i="3"/>
  <c r="AV15" i="3"/>
  <c r="AV74" i="3"/>
  <c r="AL60" i="3"/>
  <c r="AP69" i="3"/>
  <c r="AV63" i="3"/>
  <c r="AH34" i="3"/>
  <c r="AI33" i="3"/>
  <c r="AT50" i="3"/>
  <c r="AL49" i="3"/>
  <c r="AS64" i="3"/>
  <c r="AW66" i="3"/>
  <c r="AI19" i="3"/>
  <c r="AJ77" i="3"/>
  <c r="AP24" i="3"/>
  <c r="AK33" i="3"/>
  <c r="AJ76" i="3"/>
  <c r="AT14" i="3"/>
  <c r="AS31" i="3"/>
  <c r="AM29" i="3"/>
  <c r="AI78" i="3"/>
  <c r="AO56" i="3"/>
  <c r="AP43" i="3"/>
  <c r="AK17" i="3"/>
  <c r="AH63" i="3"/>
  <c r="AL41" i="3"/>
  <c r="AQ43" i="3"/>
  <c r="AL53" i="3"/>
  <c r="AT23" i="3"/>
  <c r="AJ21" i="3"/>
  <c r="AW70" i="3"/>
  <c r="AK65" i="3"/>
  <c r="AU78" i="3"/>
  <c r="AH15" i="3"/>
  <c r="AS47" i="3"/>
  <c r="AQ46" i="3"/>
  <c r="AN41" i="3"/>
  <c r="AU39" i="3"/>
  <c r="AR68" i="3"/>
  <c r="AT17" i="3"/>
  <c r="AK42" i="3"/>
  <c r="AI55" i="3"/>
  <c r="AR55" i="3"/>
  <c r="AH30" i="3"/>
  <c r="AP47" i="3"/>
  <c r="AW60" i="3"/>
  <c r="AV36" i="3"/>
  <c r="AH17" i="3"/>
  <c r="AQ48" i="3"/>
  <c r="AM18" i="3"/>
  <c r="AO21" i="3"/>
  <c r="AJ51" i="3"/>
  <c r="AQ77" i="3"/>
  <c r="AX29" i="3"/>
  <c r="AR54" i="3"/>
  <c r="AN22" i="3"/>
  <c r="AP76" i="3"/>
  <c r="AO70" i="3"/>
  <c r="AL40" i="3"/>
  <c r="AU54" i="3"/>
  <c r="AJ42" i="3"/>
  <c r="AV66" i="3"/>
  <c r="AM32" i="3"/>
  <c r="AH76" i="3"/>
  <c r="AH50" i="3"/>
  <c r="AM45" i="3"/>
  <c r="AR20" i="3"/>
  <c r="AX27" i="3"/>
  <c r="AX34" i="3"/>
  <c r="AW52" i="3"/>
  <c r="AI43" i="3"/>
  <c r="AH18" i="3"/>
  <c r="AQ72" i="3"/>
  <c r="AV24" i="3"/>
  <c r="AU67" i="3"/>
  <c r="AX48" i="3"/>
  <c r="AS71" i="3"/>
  <c r="AX26" i="3"/>
  <c r="AN73" i="3"/>
  <c r="AO19" i="3"/>
  <c r="AN45" i="3"/>
  <c r="AU57" i="3"/>
  <c r="AV67" i="3"/>
  <c r="AI49" i="3"/>
  <c r="AJ52" i="3"/>
  <c r="AS79" i="3"/>
  <c r="AL44" i="3"/>
  <c r="AT27" i="3"/>
  <c r="AX78" i="3"/>
  <c r="AP38" i="3"/>
  <c r="AU29" i="3"/>
  <c r="AN36" i="3"/>
  <c r="AR50" i="3"/>
  <c r="AP14" i="3"/>
  <c r="AM59" i="3"/>
  <c r="AU74" i="3"/>
  <c r="AV78" i="3"/>
  <c r="AO48" i="3"/>
  <c r="AQ79" i="3"/>
  <c r="AW34" i="3"/>
  <c r="AQ75" i="3"/>
  <c r="AS61" i="3"/>
  <c r="AM71" i="3"/>
  <c r="AS24" i="3"/>
  <c r="AL71" i="3"/>
  <c r="AO77" i="3"/>
  <c r="AU58" i="3"/>
  <c r="AH48" i="3"/>
  <c r="AX37" i="3"/>
  <c r="AN60" i="3"/>
  <c r="AS49" i="3"/>
  <c r="AR67" i="3"/>
  <c r="AP26" i="3"/>
  <c r="AW46" i="3"/>
  <c r="AW37" i="3"/>
  <c r="AN35" i="3"/>
  <c r="AS45" i="3"/>
  <c r="AR29" i="3"/>
  <c r="AJ47" i="3"/>
  <c r="AJ50" i="3"/>
  <c r="AP27" i="3"/>
  <c r="AO55" i="3"/>
  <c r="AK80" i="3"/>
  <c r="AV53" i="3"/>
  <c r="AO36" i="3"/>
  <c r="AX67" i="3"/>
  <c r="AU18" i="3"/>
  <c r="AQ74" i="3"/>
  <c r="AV14" i="3"/>
  <c r="AW69" i="3"/>
  <c r="AT28" i="3"/>
  <c r="AW35" i="3"/>
  <c r="AS33" i="3"/>
  <c r="AR79" i="3"/>
  <c r="AJ36" i="3"/>
  <c r="AN44" i="3"/>
  <c r="AS25" i="3"/>
  <c r="AM76" i="3"/>
  <c r="AS58" i="3"/>
  <c r="AQ68" i="3"/>
  <c r="AL55" i="3"/>
  <c r="AQ64" i="3"/>
  <c r="AP15" i="3"/>
  <c r="AO37" i="3"/>
  <c r="AK57" i="3"/>
  <c r="AO15" i="3"/>
  <c r="AR37" i="3"/>
  <c r="AU27" i="3"/>
  <c r="AN58" i="3"/>
  <c r="AS44" i="3"/>
  <c r="AU43" i="3"/>
  <c r="AR31" i="3"/>
  <c r="AW64" i="3"/>
  <c r="AT38" i="3"/>
  <c r="AJ73" i="3"/>
  <c r="AP18" i="3"/>
  <c r="AH43" i="3"/>
  <c r="AN14" i="3"/>
  <c r="AT46" i="3"/>
  <c r="AO30" i="3"/>
  <c r="AM62" i="3"/>
  <c r="AS27" i="3"/>
  <c r="AS39" i="3"/>
  <c r="AQ14" i="3"/>
  <c r="AO42" i="3"/>
  <c r="AJ75" i="3"/>
  <c r="AU69" i="3"/>
  <c r="AM21" i="3"/>
  <c r="AL26" i="3"/>
  <c r="AM79" i="3"/>
  <c r="AK76" i="3"/>
  <c r="AR59" i="3"/>
  <c r="AT19" i="3"/>
  <c r="AX18" i="3"/>
  <c r="AX72" i="3"/>
  <c r="AI61" i="3"/>
  <c r="AP58" i="3"/>
  <c r="AO18" i="3"/>
  <c r="AU32" i="3"/>
  <c r="AP53" i="3"/>
  <c r="AK63" i="3"/>
  <c r="AS34" i="3"/>
  <c r="AN52" i="3"/>
  <c r="AH46" i="3"/>
  <c r="AI50" i="3"/>
  <c r="AT30" i="3"/>
  <c r="AO43" i="3"/>
  <c r="AJ18" i="3"/>
  <c r="AV22" i="3"/>
  <c r="AO54" i="3"/>
  <c r="AM33" i="3"/>
  <c r="AQ39" i="3"/>
  <c r="AJ27" i="3"/>
  <c r="AO59" i="3"/>
  <c r="AI73" i="3"/>
  <c r="AI53" i="3"/>
  <c r="AL17" i="3"/>
  <c r="AS75" i="3"/>
  <c r="AN16" i="3"/>
  <c r="AP48" i="3"/>
  <c r="AV64" i="3"/>
  <c r="AJ45" i="3"/>
  <c r="AO63" i="3"/>
  <c r="AU53" i="3"/>
  <c r="AH54" i="3"/>
  <c r="AJ67" i="3"/>
  <c r="AP52" i="3"/>
  <c r="AK36" i="3"/>
  <c r="AV38" i="3"/>
  <c r="AV54" i="3"/>
  <c r="AL29" i="3"/>
  <c r="AO47" i="3"/>
  <c r="AH44" i="3"/>
  <c r="AX66" i="3"/>
  <c r="AJ43" i="3"/>
  <c r="AO53" i="3"/>
  <c r="AR44" i="3"/>
  <c r="AP79" i="3"/>
  <c r="AP44" i="3"/>
  <c r="AU14" i="3"/>
  <c r="AI58" i="3"/>
  <c r="AU42" i="3"/>
  <c r="AJ14" i="3"/>
  <c r="AK68" i="3"/>
  <c r="AP67" i="3"/>
  <c r="AM20" i="3"/>
  <c r="AO58" i="3"/>
  <c r="AR65" i="3"/>
  <c r="AK62" i="3"/>
  <c r="AP23" i="3"/>
  <c r="AN29" i="3"/>
  <c r="AR43" i="3"/>
  <c r="AX14" i="3"/>
  <c r="AS74" i="3"/>
  <c r="AK44" i="3"/>
  <c r="AO75" i="3"/>
  <c r="AR27" i="3"/>
  <c r="AR75" i="3"/>
  <c r="AH45" i="3"/>
  <c r="AR45" i="3"/>
  <c r="AW23" i="3"/>
  <c r="AJ66" i="3"/>
  <c r="AK64" i="3"/>
  <c r="AX74" i="3"/>
  <c r="AV56" i="3"/>
  <c r="AI74" i="3"/>
  <c r="AJ39" i="3"/>
  <c r="AX62" i="3"/>
  <c r="AI67" i="3"/>
  <c r="AI28" i="3"/>
  <c r="AQ49" i="3"/>
  <c r="AS63" i="3"/>
  <c r="AX70" i="3"/>
  <c r="AQ29" i="3"/>
  <c r="AI70" i="3"/>
  <c r="AS51" i="3"/>
  <c r="AQ54" i="3"/>
  <c r="AW75" i="3"/>
  <c r="AN68" i="3"/>
  <c r="AV49" i="3"/>
  <c r="AH28" i="3"/>
  <c r="AW31" i="3"/>
  <c r="AV71" i="3"/>
  <c r="AO49" i="3"/>
  <c r="AN63" i="3"/>
  <c r="AK41" i="3"/>
  <c r="AI38" i="3"/>
  <c r="AO44" i="3"/>
  <c r="AT55" i="3"/>
  <c r="AJ31" i="3"/>
  <c r="AP59" i="3"/>
  <c r="AI63" i="3"/>
  <c r="AV50" i="3"/>
  <c r="AI18" i="3"/>
  <c r="AK55" i="3"/>
  <c r="AV25" i="3"/>
  <c r="AH56" i="3"/>
  <c r="AN61" i="3"/>
  <c r="AI75" i="3"/>
  <c r="AQ71" i="3"/>
  <c r="AT22" i="3"/>
  <c r="AT75" i="3"/>
  <c r="AO27" i="3"/>
  <c r="AQ38" i="3"/>
  <c r="AQ55" i="3"/>
  <c r="AM70" i="3"/>
  <c r="AR17" i="3"/>
  <c r="AQ67" i="3"/>
  <c r="AR72" i="3"/>
  <c r="AT37" i="3"/>
  <c r="AH58" i="3"/>
  <c r="AK14" i="3"/>
  <c r="AH23" i="3"/>
  <c r="AO74" i="3"/>
  <c r="AK19" i="3"/>
  <c r="AH27" i="3"/>
  <c r="AX35" i="3"/>
  <c r="AX76" i="3"/>
  <c r="AK22" i="3"/>
  <c r="AT20" i="3"/>
  <c r="AO76" i="3"/>
  <c r="AT71" i="3"/>
  <c r="AK16" i="3"/>
  <c r="AP49" i="3"/>
  <c r="AW33" i="3"/>
  <c r="AV61" i="3"/>
  <c r="AN21" i="3"/>
  <c r="AX61" i="3"/>
  <c r="AP71" i="3"/>
  <c r="AQ27" i="3"/>
  <c r="AQ40" i="3"/>
  <c r="AI36" i="3"/>
  <c r="AL23" i="3"/>
  <c r="AX39" i="3"/>
  <c r="AP65" i="3"/>
  <c r="AK70" i="3"/>
  <c r="AM73" i="3"/>
  <c r="AI60" i="3"/>
  <c r="AQ47" i="3"/>
  <c r="AT49" i="3"/>
  <c r="AX24" i="3"/>
  <c r="AL61" i="3"/>
  <c r="AR22" i="3"/>
  <c r="AL65" i="3"/>
  <c r="AL27" i="3"/>
  <c r="AM74" i="3"/>
  <c r="AK18" i="3"/>
  <c r="AQ19" i="3"/>
  <c r="AR71" i="3"/>
  <c r="AX41" i="3"/>
  <c r="AM69" i="3"/>
  <c r="AT70" i="3"/>
  <c r="AI23" i="3"/>
  <c r="AX43" i="3"/>
  <c r="AT54" i="3"/>
  <c r="AR40" i="3"/>
  <c r="AK79" i="3"/>
  <c r="AV48" i="3"/>
  <c r="AX65" i="3"/>
  <c r="AX19" i="3"/>
  <c r="AS35" i="3"/>
  <c r="AM75" i="3"/>
  <c r="AR77" i="3"/>
  <c r="AK27" i="3"/>
  <c r="AL30" i="3"/>
  <c r="AW38" i="3"/>
  <c r="AU46" i="3"/>
  <c r="AT53" i="3"/>
  <c r="AN34" i="3"/>
  <c r="AW27" i="3"/>
  <c r="AS57" i="3"/>
  <c r="AP31" i="3"/>
  <c r="AJ40" i="3"/>
  <c r="AT62" i="3"/>
  <c r="AH69" i="3"/>
  <c r="AN59" i="3"/>
  <c r="AV35" i="3"/>
  <c r="AQ59" i="3"/>
  <c r="AM51" i="3"/>
  <c r="AJ22" i="3"/>
  <c r="AL19" i="3"/>
  <c r="AV18" i="3"/>
  <c r="AP50" i="3"/>
  <c r="AU47" i="3"/>
  <c r="AU72" i="3"/>
  <c r="AJ25" i="3"/>
  <c r="AU52" i="3"/>
  <c r="AW58" i="3"/>
  <c r="AQ25" i="3"/>
  <c r="AM49" i="3"/>
  <c r="AX69" i="3"/>
  <c r="AQ31" i="3"/>
  <c r="AP55" i="3"/>
  <c r="AX33" i="3"/>
  <c r="AJ54" i="3"/>
  <c r="AQ30" i="3"/>
  <c r="AK26" i="3"/>
  <c r="AL42" i="3"/>
  <c r="AP77" i="3"/>
  <c r="AH16" i="3"/>
  <c r="AP57" i="3"/>
  <c r="AL75" i="3"/>
  <c r="AN69" i="3"/>
  <c r="AS19" i="3"/>
  <c r="AL79" i="3"/>
  <c r="AI59" i="3"/>
  <c r="AS21" i="3"/>
  <c r="AM80" i="3"/>
  <c r="AQ44" i="3"/>
  <c r="AV46" i="3"/>
  <c r="AJ72" i="3"/>
  <c r="AI25" i="3"/>
  <c r="AP62" i="3"/>
  <c r="AR21" i="3"/>
  <c r="AJ79" i="3"/>
  <c r="AV51" i="3"/>
  <c r="AJ78" i="3"/>
  <c r="AM16" i="3"/>
  <c r="AP34" i="3"/>
  <c r="AQ36" i="3"/>
  <c r="AM46" i="3"/>
  <c r="AT68" i="3"/>
  <c r="AM19" i="3"/>
  <c r="AV39" i="3"/>
  <c r="AJ57" i="3"/>
  <c r="AX45" i="3"/>
  <c r="AK28" i="3"/>
  <c r="AR15" i="3"/>
  <c r="AL56" i="3"/>
  <c r="AL37" i="3"/>
  <c r="AU19" i="3"/>
  <c r="AR48" i="3"/>
  <c r="AL63" i="3"/>
  <c r="AH57" i="3"/>
  <c r="AQ23" i="3"/>
  <c r="AT63" i="3"/>
  <c r="AQ65" i="3"/>
  <c r="AO62" i="3"/>
  <c r="AK24" i="3"/>
  <c r="AV20" i="3"/>
  <c r="AN40" i="3"/>
  <c r="AV34" i="3"/>
  <c r="AH36" i="3"/>
  <c r="AU60" i="3"/>
  <c r="AJ19" i="3"/>
  <c r="AJ17" i="3"/>
  <c r="AW76" i="3"/>
  <c r="AN15" i="3"/>
  <c r="AK48" i="3"/>
  <c r="AK40" i="3"/>
  <c r="AL18" i="3"/>
  <c r="AM64" i="3"/>
  <c r="AI45" i="3"/>
  <c r="AH39" i="3"/>
  <c r="AO66" i="3"/>
  <c r="AL51" i="3"/>
  <c r="AN80" i="3"/>
  <c r="AS70" i="3"/>
  <c r="AP70" i="3"/>
  <c r="AQ42" i="3"/>
  <c r="AM39" i="3"/>
  <c r="AH66" i="3"/>
  <c r="AK39" i="3"/>
  <c r="AR18" i="3"/>
  <c r="AW74" i="3"/>
  <c r="AP21" i="3"/>
  <c r="AH33" i="3"/>
  <c r="AJ60" i="3"/>
  <c r="AP64" i="3"/>
  <c r="AK51" i="3"/>
  <c r="AH53" i="3"/>
  <c r="AQ58" i="3"/>
  <c r="AP75" i="3"/>
  <c r="AJ44" i="3"/>
  <c r="AS67" i="3"/>
  <c r="AV17" i="3"/>
  <c r="AL39" i="3"/>
  <c r="AW24" i="3"/>
  <c r="AK72" i="3"/>
  <c r="AH35" i="3"/>
  <c r="AW32" i="3"/>
  <c r="AW25" i="3"/>
  <c r="AQ35" i="3"/>
  <c r="AL57" i="3"/>
  <c r="AU71" i="3"/>
  <c r="AQ26" i="3"/>
  <c r="AI46" i="3"/>
  <c r="AQ50" i="3"/>
  <c r="AT15" i="3"/>
  <c r="AU38" i="3"/>
  <c r="AM30" i="3"/>
  <c r="AQ17" i="3"/>
  <c r="AM17" i="3"/>
  <c r="AQ69" i="3"/>
  <c r="AS36" i="3"/>
  <c r="AL50" i="3"/>
  <c r="AO80" i="3"/>
  <c r="AJ26" i="3"/>
  <c r="AQ73" i="3"/>
  <c r="AH80" i="3"/>
  <c r="AT58" i="3"/>
  <c r="AN32" i="3"/>
  <c r="AP42" i="3"/>
  <c r="AS29" i="3"/>
  <c r="AR26" i="3"/>
  <c r="AT25" i="3"/>
  <c r="AN30" i="3"/>
  <c r="AU56" i="3"/>
  <c r="AL69" i="3"/>
  <c r="AV32" i="3"/>
  <c r="AN27" i="3"/>
  <c r="AT61" i="3"/>
  <c r="AV62" i="3"/>
  <c r="AU26" i="3"/>
  <c r="AX58" i="3"/>
  <c r="AU62" i="3"/>
  <c r="AK49" i="3"/>
  <c r="AW42" i="3"/>
  <c r="AH72" i="3"/>
  <c r="AS65" i="3"/>
  <c r="AP16" i="3"/>
  <c r="AJ23" i="3"/>
  <c r="AV69" i="3"/>
  <c r="AQ57" i="3"/>
  <c r="AQ70" i="3"/>
  <c r="AT76" i="3"/>
  <c r="AS28" i="3"/>
  <c r="AU25" i="3"/>
  <c r="AX57" i="3"/>
  <c r="AT78" i="3"/>
  <c r="AJ48" i="3"/>
  <c r="AN31" i="3"/>
  <c r="AW20" i="3"/>
  <c r="AV45" i="3"/>
  <c r="AO71" i="3"/>
  <c r="AL77" i="3"/>
  <c r="AQ21" i="3"/>
  <c r="AR38" i="3"/>
  <c r="AM48" i="3"/>
  <c r="AL15" i="3"/>
  <c r="AO25" i="3"/>
  <c r="AK69" i="3"/>
  <c r="AW30" i="3"/>
  <c r="AI56" i="3"/>
  <c r="AJ59" i="3"/>
  <c r="AP73" i="3"/>
  <c r="AQ53" i="3"/>
  <c r="AL59" i="3"/>
  <c r="AR14" i="3"/>
  <c r="AI40" i="3"/>
  <c r="AV30" i="3"/>
  <c r="AR69" i="3"/>
  <c r="AW22" i="3"/>
  <c r="AI22" i="3"/>
  <c r="AI21" i="3"/>
  <c r="AU17" i="3"/>
  <c r="AT21" i="3"/>
  <c r="AT39" i="3"/>
  <c r="AK71" i="3"/>
  <c r="AV73" i="3"/>
  <c r="AO57" i="3"/>
  <c r="AQ56" i="3"/>
  <c r="AK60" i="3"/>
  <c r="AN54" i="3"/>
  <c r="AS14" i="3"/>
  <c r="AT72" i="3"/>
  <c r="AX52" i="3"/>
  <c r="AT29" i="3"/>
  <c r="AH71" i="3"/>
  <c r="AT24" i="3"/>
  <c r="AH61" i="3"/>
  <c r="AH65" i="3"/>
  <c r="AL52" i="3"/>
  <c r="AU41" i="3"/>
  <c r="AM37" i="3"/>
  <c r="AX77" i="3"/>
  <c r="AW61" i="3"/>
  <c r="AP40" i="3"/>
  <c r="AR39" i="3"/>
  <c r="AN56" i="3"/>
  <c r="AW59" i="3"/>
  <c r="AV37" i="3"/>
  <c r="AO28" i="3"/>
  <c r="AX20" i="3"/>
  <c r="AM60" i="3"/>
  <c r="AH32" i="3"/>
  <c r="AJ71" i="3"/>
  <c r="AU64" i="3"/>
  <c r="AJ74" i="3"/>
  <c r="AQ16" i="3"/>
  <c r="AN79" i="3"/>
  <c r="AU59" i="3"/>
  <c r="AK77" i="3"/>
  <c r="AM66" i="3"/>
  <c r="AT60" i="3"/>
  <c r="AM47" i="3"/>
  <c r="AM58" i="3"/>
  <c r="AO52" i="3"/>
  <c r="AP39" i="3"/>
  <c r="AH77" i="3"/>
  <c r="AI37" i="3"/>
  <c r="AH73" i="3"/>
  <c r="AJ69" i="3"/>
  <c r="AL14" i="3"/>
  <c r="AV70" i="3"/>
  <c r="AS73" i="3"/>
  <c r="AU36" i="3"/>
  <c r="AX75" i="3"/>
  <c r="AM52" i="3"/>
  <c r="AV42" i="3"/>
  <c r="AR64" i="3"/>
  <c r="AS66" i="3"/>
  <c r="AP29" i="3"/>
  <c r="AL33" i="3"/>
  <c r="AL45" i="3"/>
  <c r="AV52" i="3"/>
  <c r="AT57" i="3"/>
  <c r="AK32" i="3"/>
  <c r="AR36" i="3"/>
  <c r="AT69" i="3"/>
  <c r="AI65" i="3"/>
  <c r="AV40" i="3"/>
  <c r="AH19" i="3"/>
  <c r="AL80" i="3"/>
  <c r="AI31" i="3"/>
  <c r="AN46" i="3"/>
  <c r="AI35" i="3"/>
  <c r="AV79" i="3"/>
  <c r="AQ45" i="3"/>
  <c r="AI62" i="3"/>
  <c r="AM56" i="3"/>
  <c r="AP63" i="3"/>
  <c r="AW39" i="3"/>
  <c r="AW26" i="3"/>
  <c r="AH68" i="3"/>
  <c r="AS56" i="3"/>
  <c r="AH25" i="3"/>
  <c r="AL66" i="3"/>
  <c r="AP45" i="3"/>
  <c r="AK56" i="3"/>
  <c r="AT52" i="3"/>
  <c r="AN42" i="3"/>
  <c r="AN24" i="3"/>
  <c r="AL70" i="3"/>
  <c r="AS76" i="3"/>
  <c r="AW67" i="3"/>
  <c r="AL46" i="3"/>
  <c r="AX36" i="3"/>
  <c r="AS46" i="3"/>
  <c r="AS17" i="3"/>
  <c r="AI27" i="3"/>
  <c r="AX32" i="3"/>
  <c r="AJ35" i="3"/>
  <c r="AR66" i="3"/>
  <c r="AX53" i="3"/>
  <c r="AO17" i="3"/>
  <c r="AW54" i="3"/>
  <c r="AL35" i="3"/>
  <c r="AO50" i="3"/>
  <c r="AQ51" i="3"/>
  <c r="AI52" i="3"/>
  <c r="AR47" i="3"/>
  <c r="AI39" i="3"/>
  <c r="AP74" i="3"/>
  <c r="AH26" i="3"/>
  <c r="AR32" i="3"/>
  <c r="AQ41" i="3"/>
  <c r="AM25" i="3"/>
  <c r="AN18" i="3"/>
  <c r="AN25" i="3"/>
  <c r="AS50" i="3"/>
  <c r="AV65" i="3"/>
  <c r="AV41" i="3"/>
  <c r="AW78" i="3"/>
  <c r="AQ62" i="3"/>
  <c r="AM35" i="3"/>
  <c r="AU55" i="3"/>
  <c r="AM42" i="3"/>
  <c r="AT42" i="3"/>
  <c r="AP25" i="3"/>
  <c r="AT43" i="3"/>
  <c r="AO22" i="3"/>
  <c r="AT48" i="3"/>
  <c r="AL38" i="3"/>
  <c r="AN26" i="3"/>
  <c r="AO64" i="3"/>
  <c r="AW57" i="3"/>
  <c r="AH55" i="3"/>
  <c r="AL72" i="3"/>
  <c r="AI51" i="3"/>
  <c r="AS38" i="3"/>
  <c r="AL34" i="3"/>
  <c r="AT41" i="3"/>
  <c r="AP36" i="3"/>
  <c r="AM67" i="3"/>
  <c r="AJ55" i="3"/>
  <c r="AH74" i="3"/>
  <c r="AV59" i="3"/>
  <c r="AM22" i="3"/>
  <c r="AT32" i="3"/>
  <c r="AJ16" i="3"/>
  <c r="AS55" i="3"/>
  <c r="AI80" i="3"/>
  <c r="AP61" i="3"/>
  <c r="AS78" i="3"/>
  <c r="AN28" i="3"/>
  <c r="AW36" i="3"/>
  <c r="AU50" i="3"/>
  <c r="AU22" i="3"/>
  <c r="AR41" i="3"/>
  <c r="AT56" i="3"/>
  <c r="AJ41" i="3"/>
  <c r="AU70" i="3"/>
  <c r="AL68" i="3"/>
  <c r="AP37" i="3"/>
  <c r="AX47" i="3"/>
  <c r="AH67" i="3"/>
  <c r="AW47" i="3"/>
  <c r="AV76" i="3"/>
  <c r="AH60" i="3"/>
  <c r="AO68" i="3"/>
  <c r="AL21" i="3"/>
  <c r="AT80" i="3"/>
  <c r="AR33" i="3"/>
  <c r="AI24" i="3"/>
  <c r="AK43" i="3"/>
  <c r="AS40" i="3"/>
  <c r="AU77" i="3"/>
  <c r="AW21" i="3"/>
  <c r="AO67" i="3"/>
  <c r="AW40" i="3"/>
  <c r="AH51" i="3"/>
  <c r="AP28" i="3"/>
  <c r="AX22" i="3"/>
  <c r="AL22" i="3"/>
  <c r="AO32" i="3"/>
  <c r="AR70" i="3"/>
  <c r="AW65" i="3"/>
  <c r="AN65" i="3"/>
  <c r="AX15" i="3"/>
  <c r="AK58" i="3"/>
  <c r="AK74" i="3"/>
  <c r="AU35" i="3"/>
  <c r="AO46" i="3"/>
  <c r="AJ24" i="3"/>
  <c r="AM14" i="3"/>
  <c r="AK75" i="3"/>
  <c r="AX40" i="3"/>
  <c r="AQ76" i="3"/>
  <c r="AJ15" i="3"/>
  <c r="AQ52" i="3"/>
  <c r="AW43" i="3"/>
  <c r="AM55" i="3"/>
  <c r="AP66" i="3"/>
  <c r="AK15" i="3"/>
  <c r="AJ28" i="3"/>
  <c r="AH79" i="3"/>
  <c r="AP72" i="3"/>
  <c r="AH21" i="3"/>
  <c r="AR74" i="3"/>
  <c r="AI69" i="3"/>
  <c r="AL54" i="3"/>
  <c r="AR28" i="3"/>
  <c r="AQ37" i="3"/>
  <c r="AS80" i="3"/>
  <c r="AL76" i="3"/>
  <c r="AH47" i="3"/>
  <c r="AK25" i="3"/>
  <c r="AK23" i="3"/>
  <c r="AJ49" i="3"/>
  <c r="AX16" i="3"/>
  <c r="AL73" i="3"/>
  <c r="AJ61" i="3"/>
  <c r="AT64" i="3"/>
  <c r="AS16" i="3"/>
  <c r="AS60" i="3"/>
  <c r="AI57" i="3"/>
  <c r="AU48" i="3"/>
  <c r="AO78" i="3"/>
  <c r="AM78" i="3"/>
  <c r="AL48" i="3"/>
  <c r="AL74" i="3"/>
  <c r="AS54" i="3"/>
  <c r="AT51" i="3"/>
  <c r="AR23" i="3"/>
  <c r="AJ38" i="3"/>
  <c r="AW62" i="3"/>
  <c r="AI77" i="3"/>
  <c r="AT35" i="3"/>
  <c r="AW63" i="3"/>
  <c r="AQ61" i="3"/>
  <c r="AT59" i="3"/>
  <c r="AN55" i="3"/>
  <c r="AI68" i="3"/>
  <c r="AW77" i="3"/>
  <c r="AI30" i="3"/>
  <c r="AJ58" i="3"/>
  <c r="AX63" i="3"/>
  <c r="AQ78" i="3"/>
  <c r="AH49" i="3"/>
  <c r="AH22" i="3"/>
  <c r="AX50" i="3"/>
  <c r="AK35" i="3"/>
  <c r="AW44" i="3"/>
  <c r="AL20" i="3"/>
  <c r="AS72" i="3"/>
  <c r="AQ32" i="3"/>
  <c r="AN76" i="3"/>
  <c r="AX28" i="3"/>
  <c r="AV44" i="3"/>
  <c r="AJ68" i="3"/>
  <c r="AH29" i="3"/>
  <c r="AN43" i="3"/>
  <c r="AK54" i="3"/>
  <c r="AO69" i="3"/>
  <c r="AI32" i="3"/>
  <c r="AL25" i="3"/>
  <c r="AU20" i="3"/>
  <c r="AS26" i="3"/>
  <c r="AK29" i="3"/>
  <c r="AW50" i="3"/>
  <c r="AV26" i="3"/>
  <c r="AU75" i="3"/>
  <c r="AN57" i="3"/>
  <c r="AV28" i="3"/>
  <c r="AR19" i="3"/>
  <c r="AH62" i="3"/>
  <c r="AW29" i="3"/>
  <c r="AT40" i="3"/>
  <c r="AM26" i="3"/>
  <c r="AW14" i="3"/>
  <c r="AI34" i="3"/>
  <c r="AO23" i="3"/>
  <c r="AN23" i="3"/>
  <c r="AU79" i="3"/>
  <c r="AH70" i="3"/>
  <c r="AM23" i="3"/>
  <c r="AM15" i="3"/>
  <c r="AI44" i="3"/>
  <c r="AQ63" i="3"/>
  <c r="AO61" i="3"/>
  <c r="AL67" i="3"/>
  <c r="AO73" i="3"/>
  <c r="AO26" i="3"/>
  <c r="AP68" i="3"/>
  <c r="AX30" i="3"/>
  <c r="AI41" i="3"/>
  <c r="AL47" i="3"/>
  <c r="AN20" i="3"/>
  <c r="AT45" i="3"/>
  <c r="AJ80" i="3"/>
  <c r="AU30" i="3"/>
  <c r="AM57" i="3"/>
  <c r="AL28" i="3"/>
  <c r="AV55" i="3"/>
  <c r="AR62" i="3"/>
  <c r="AH24" i="3"/>
  <c r="AM27" i="3"/>
  <c r="AQ28" i="3"/>
  <c r="AU21" i="3"/>
  <c r="AI20" i="3"/>
  <c r="AL64" i="3"/>
  <c r="AK21" i="3"/>
  <c r="AT77" i="3"/>
  <c r="AN47" i="3"/>
  <c r="AS42" i="3"/>
  <c r="AM77" i="3"/>
  <c r="AU16" i="3"/>
  <c r="AR46" i="3"/>
  <c r="AM53" i="3"/>
  <c r="AW17" i="3"/>
  <c r="AS30" i="3"/>
  <c r="AI72" i="3"/>
  <c r="AU24" i="3"/>
  <c r="AP78" i="3"/>
  <c r="AU40" i="3"/>
  <c r="AX73" i="3"/>
  <c r="AS41" i="3"/>
  <c r="AI16" i="3"/>
  <c r="AU31" i="3"/>
  <c r="AO39" i="3"/>
  <c r="AH59" i="3"/>
  <c r="AP46" i="3"/>
  <c r="AL43" i="3"/>
  <c r="AK47" i="3"/>
  <c r="AW79" i="3"/>
  <c r="AH52" i="3"/>
  <c r="AO33" i="3"/>
  <c r="AJ70" i="3"/>
  <c r="AX54" i="3"/>
  <c r="AV68" i="3"/>
  <c r="AP35" i="3"/>
  <c r="AT18" i="3"/>
  <c r="AV75" i="3"/>
  <c r="AK46" i="3"/>
  <c r="AK59" i="3"/>
  <c r="AI71" i="3"/>
  <c r="AV29" i="3"/>
  <c r="AX17" i="3"/>
  <c r="AW71" i="3"/>
  <c r="AI76" i="3"/>
  <c r="AX80" i="3"/>
  <c r="AQ34" i="3"/>
  <c r="AI47" i="3"/>
  <c r="AJ64" i="3"/>
  <c r="AI15" i="3"/>
  <c r="AH14" i="3"/>
  <c r="AM36" i="3"/>
  <c r="AU45" i="3"/>
  <c r="AL31" i="3"/>
  <c r="AN37" i="3"/>
  <c r="AN49" i="3"/>
  <c r="AJ62" i="3"/>
  <c r="AX60" i="3"/>
  <c r="AP17" i="3"/>
  <c r="AR16" i="3"/>
  <c r="AN19" i="3"/>
  <c r="AL32" i="3"/>
  <c r="AQ60" i="3"/>
  <c r="AJ33" i="3"/>
  <c r="AK31" i="3"/>
  <c r="AL62" i="3"/>
  <c r="AR52" i="3"/>
  <c r="AP51" i="3"/>
  <c r="AO34" i="3"/>
  <c r="AW51" i="3"/>
  <c r="AO65" i="3"/>
  <c r="AN67" i="3"/>
  <c r="AI79" i="3"/>
  <c r="AN66" i="3"/>
  <c r="AK45" i="3"/>
  <c r="AX25" i="3"/>
  <c r="AM61" i="3"/>
  <c r="AR61" i="3"/>
  <c r="AU28" i="3"/>
  <c r="AJ20" i="3"/>
  <c r="AH20" i="3"/>
  <c r="AR76" i="3"/>
  <c r="AH78" i="3"/>
  <c r="AN78" i="3"/>
  <c r="AU76" i="3"/>
  <c r="AP32" i="3"/>
  <c r="AK34" i="3"/>
  <c r="AU51" i="3"/>
  <c r="AT66" i="3"/>
  <c r="AK78" i="3"/>
  <c r="AX59" i="3"/>
  <c r="AW15" i="3"/>
  <c r="AU23" i="3"/>
  <c r="AR49" i="3"/>
  <c r="AO72" i="3"/>
  <c r="AO16" i="3"/>
  <c r="AJ29" i="3"/>
  <c r="AR24" i="3"/>
  <c r="AX46" i="3"/>
  <c r="AX71" i="3"/>
  <c r="AX55" i="3"/>
  <c r="AK50" i="3"/>
  <c r="AM43" i="3"/>
  <c r="AK61" i="3"/>
  <c r="AH42" i="3"/>
  <c r="AQ24" i="3"/>
  <c r="AT26" i="3"/>
  <c r="AK52" i="3"/>
  <c r="AU37" i="3"/>
  <c r="AX21" i="3"/>
  <c r="AT65" i="3"/>
  <c r="AT44" i="3"/>
  <c r="AW41" i="3"/>
  <c r="AS23" i="3"/>
  <c r="AX44" i="3"/>
  <c r="AI54" i="3"/>
  <c r="AU63" i="3"/>
  <c r="AU61" i="3"/>
  <c r="AU33" i="3"/>
  <c r="AL78" i="3"/>
  <c r="AK66" i="3"/>
  <c r="AT34" i="3"/>
  <c r="AO35" i="3"/>
  <c r="AS69" i="3"/>
  <c r="AO14" i="3"/>
  <c r="AR78" i="3"/>
  <c r="AM40" i="3"/>
  <c r="AO20" i="3"/>
  <c r="AL58" i="3"/>
  <c r="AM41" i="3"/>
  <c r="AT47" i="3"/>
  <c r="AS53" i="3"/>
  <c r="AN75" i="3"/>
  <c r="AV47" i="3"/>
  <c r="AH37" i="3"/>
  <c r="AH38" i="3"/>
  <c r="AW49" i="3"/>
  <c r="AS22" i="3"/>
  <c r="AN70" i="3"/>
  <c r="AV23" i="3"/>
  <c r="AV31" i="3"/>
  <c r="AN39" i="3"/>
  <c r="AP56" i="3"/>
  <c r="AK53" i="3"/>
  <c r="AU44" i="3"/>
  <c r="AM38" i="3"/>
  <c r="AK20" i="3"/>
  <c r="AH75" i="3"/>
  <c r="AK67" i="3"/>
  <c r="AO31" i="3"/>
  <c r="AN72" i="3"/>
  <c r="AI26" i="3"/>
  <c r="AI64" i="3"/>
  <c r="AX68" i="3"/>
  <c r="AQ18" i="3"/>
  <c r="AI17" i="3"/>
  <c r="AS43" i="3"/>
  <c r="AM72" i="3"/>
  <c r="AO45" i="3"/>
  <c r="AR25" i="3"/>
  <c r="AN59" i="566"/>
  <c r="AO59" i="566"/>
  <c r="AO64" i="566"/>
  <c r="AN64" i="566"/>
  <c r="AO53" i="566"/>
  <c r="AN53" i="566"/>
  <c r="AN66" i="566"/>
  <c r="AO66" i="566"/>
  <c r="AO62" i="566"/>
  <c r="AN62" i="566"/>
  <c r="AN44" i="566"/>
  <c r="AO44" i="566"/>
  <c r="AO55" i="566"/>
  <c r="AN55" i="566"/>
  <c r="AO57" i="566"/>
  <c r="AN57" i="566"/>
  <c r="AO63" i="566"/>
  <c r="AN63" i="566"/>
  <c r="AN49" i="566"/>
  <c r="AO49" i="566"/>
  <c r="AO50" i="566"/>
  <c r="AN50" i="566"/>
  <c r="AN52" i="566"/>
  <c r="AO52" i="566"/>
  <c r="AO58" i="566"/>
  <c r="AN58" i="566"/>
  <c r="AN61" i="566"/>
  <c r="AO61" i="566"/>
  <c r="AO51" i="566"/>
  <c r="AN51" i="566"/>
  <c r="AN54" i="566"/>
  <c r="AO54" i="566"/>
  <c r="AN67" i="566"/>
  <c r="AO67" i="566"/>
  <c r="AO60" i="566"/>
  <c r="AN60" i="566"/>
  <c r="AK12" i="566"/>
  <c r="AJ12" i="566"/>
  <c r="AM39" i="566"/>
  <c r="AL39" i="566"/>
  <c r="AM25" i="566"/>
  <c r="AL25" i="566"/>
  <c r="AL36" i="566"/>
  <c r="AM36" i="566"/>
  <c r="AM38" i="566"/>
  <c r="AL38" i="566"/>
  <c r="AK13" i="566"/>
  <c r="AJ13" i="566"/>
  <c r="AM20" i="566"/>
  <c r="AL20" i="566"/>
  <c r="AM26" i="566"/>
  <c r="AL26" i="566"/>
  <c r="AJ14" i="566"/>
  <c r="AK14" i="566"/>
  <c r="AK9" i="566"/>
  <c r="AJ9" i="566"/>
  <c r="AM42" i="566"/>
  <c r="AL42" i="566"/>
  <c r="AM31" i="566"/>
  <c r="AL31" i="566"/>
  <c r="AL21" i="566"/>
  <c r="AM21" i="566"/>
  <c r="AM29" i="566"/>
  <c r="AL29" i="566"/>
  <c r="AK3" i="566"/>
  <c r="AJ3" i="566"/>
  <c r="AJ10" i="566"/>
  <c r="AK10" i="566"/>
  <c r="AK16" i="566"/>
  <c r="AJ16" i="566"/>
  <c r="AM37" i="566"/>
  <c r="AL37" i="566"/>
  <c r="AL32" i="566"/>
  <c r="AM32" i="566"/>
  <c r="AM27" i="566"/>
  <c r="AL27" i="566"/>
  <c r="AK5" i="566"/>
  <c r="AJ5" i="566"/>
  <c r="AM30" i="566"/>
  <c r="AL30" i="566"/>
  <c r="AM24" i="566"/>
  <c r="AL24" i="566"/>
  <c r="AK6" i="566"/>
  <c r="AJ6" i="566"/>
  <c r="AM22" i="566"/>
  <c r="AL22" i="566"/>
  <c r="AJ7" i="566"/>
  <c r="AK7" i="566"/>
  <c r="AM35" i="566"/>
  <c r="AL35" i="566"/>
  <c r="AL34" i="566"/>
  <c r="AM34" i="566"/>
  <c r="AK15" i="566"/>
  <c r="AJ15" i="566"/>
  <c r="AM43" i="566"/>
  <c r="AL43" i="566"/>
  <c r="AK4" i="566"/>
  <c r="AJ4" i="566"/>
  <c r="AK11" i="566"/>
  <c r="AJ11" i="566"/>
  <c r="AK18" i="566"/>
  <c r="AJ18" i="566"/>
  <c r="AM33" i="566"/>
  <c r="AL33" i="566"/>
  <c r="AL19" i="566"/>
  <c r="AM19" i="566"/>
  <c r="AM41" i="566"/>
  <c r="AL41" i="566"/>
  <c r="AH1" i="566"/>
  <c r="AJ1" i="566" s="1"/>
  <c r="AL1" i="566" s="1"/>
  <c r="AN1" i="566" s="1"/>
  <c r="AP1" i="566" s="1"/>
  <c r="AR1" i="566" s="1"/>
  <c r="AW8" i="3" a="1"/>
  <c r="AX12" i="3" a="1"/>
  <c r="AW5" i="3" a="1"/>
  <c r="AW7" i="3" a="1"/>
  <c r="AX3" i="3" a="1"/>
  <c r="AX2" i="3" a="1"/>
  <c r="AX6" i="3" a="1"/>
  <c r="AW12" i="3" a="1"/>
  <c r="AW9" i="3" a="1"/>
  <c r="AW6" i="3" a="1"/>
  <c r="AW11" i="3" a="1"/>
  <c r="AX11" i="3" a="1"/>
  <c r="AX10" i="3" a="1"/>
  <c r="AX5" i="3" a="1"/>
  <c r="AW10" i="3" a="1"/>
  <c r="AW2" i="3" a="1"/>
  <c r="AX13" i="3" a="1"/>
  <c r="AX4" i="3" a="1"/>
  <c r="AW13" i="3" a="1"/>
  <c r="AX7" i="3" a="1"/>
  <c r="AX9" i="3" a="1"/>
  <c r="AX8" i="3" a="1"/>
  <c r="AW4" i="3" a="1"/>
  <c r="AW3" i="3" a="1"/>
  <c r="AQ52" i="566" l="1"/>
  <c r="AP52" i="566"/>
  <c r="AP44" i="566"/>
  <c r="AQ44" i="566"/>
  <c r="AS81" i="566"/>
  <c r="AR81" i="566"/>
  <c r="AQ50" i="566"/>
  <c r="AP50" i="566"/>
  <c r="AQ62" i="566"/>
  <c r="AP62" i="566"/>
  <c r="AR71" i="566"/>
  <c r="AS71" i="566"/>
  <c r="AS68" i="566"/>
  <c r="AR68" i="566"/>
  <c r="AP54" i="566"/>
  <c r="AQ54" i="566"/>
  <c r="AQ49" i="566"/>
  <c r="AP49" i="566"/>
  <c r="AQ66" i="566"/>
  <c r="AP66" i="566"/>
  <c r="AS79" i="566"/>
  <c r="AR79" i="566"/>
  <c r="AQ53" i="566"/>
  <c r="AP53" i="566"/>
  <c r="AS77" i="566"/>
  <c r="AR77" i="566"/>
  <c r="AR70" i="566"/>
  <c r="AS70" i="566"/>
  <c r="AQ51" i="566"/>
  <c r="AP51" i="566"/>
  <c r="AP63" i="566"/>
  <c r="AQ63" i="566"/>
  <c r="AQ57" i="566"/>
  <c r="AP57" i="566"/>
  <c r="AP64" i="566"/>
  <c r="AQ64" i="566"/>
  <c r="AS80" i="566"/>
  <c r="AR80" i="566"/>
  <c r="AQ67" i="566"/>
  <c r="AP67" i="566"/>
  <c r="AP61" i="566"/>
  <c r="AQ61" i="566"/>
  <c r="AS69" i="566"/>
  <c r="AR69" i="566"/>
  <c r="AR72" i="566"/>
  <c r="AS72" i="566"/>
  <c r="AP58" i="566"/>
  <c r="AQ58" i="566"/>
  <c r="AQ55" i="566"/>
  <c r="AP55" i="566"/>
  <c r="AS74" i="566"/>
  <c r="AR74" i="566"/>
  <c r="AQ59" i="566"/>
  <c r="AP59" i="566"/>
  <c r="AS73" i="566"/>
  <c r="AR73" i="566"/>
  <c r="AS75" i="566"/>
  <c r="AR75" i="566"/>
  <c r="AS78" i="566"/>
  <c r="AR78" i="566"/>
  <c r="AR76" i="566"/>
  <c r="AS76" i="566"/>
  <c r="AQ60" i="566"/>
  <c r="AP60" i="566"/>
  <c r="AO35" i="566"/>
  <c r="AN35" i="566"/>
  <c r="AO25" i="566"/>
  <c r="AN25" i="566"/>
  <c r="AO32" i="566"/>
  <c r="AN32" i="566"/>
  <c r="AO29" i="566"/>
  <c r="AN29" i="566"/>
  <c r="AO41" i="566"/>
  <c r="AN41" i="566"/>
  <c r="AO43" i="566"/>
  <c r="AN43" i="566"/>
  <c r="AO39" i="566"/>
  <c r="AN39" i="566"/>
  <c r="AO26" i="566"/>
  <c r="AN26" i="566"/>
  <c r="AN31" i="566"/>
  <c r="AO31" i="566"/>
  <c r="AO22" i="566"/>
  <c r="AN22" i="566"/>
  <c r="AO20" i="566"/>
  <c r="AN20" i="566"/>
  <c r="AO36" i="566"/>
  <c r="AN36" i="566"/>
  <c r="AN27" i="566"/>
  <c r="AO27" i="566"/>
  <c r="AO21" i="566"/>
  <c r="AN21" i="566"/>
  <c r="AN37" i="566"/>
  <c r="AO37" i="566"/>
  <c r="AO24" i="566"/>
  <c r="AN24" i="566"/>
  <c r="AO42" i="566"/>
  <c r="AN42" i="566"/>
  <c r="AN19" i="566"/>
  <c r="AO19" i="566"/>
  <c r="AN33" i="566"/>
  <c r="AO33" i="566"/>
  <c r="AO30" i="566"/>
  <c r="AN30" i="566"/>
  <c r="AO38" i="566"/>
  <c r="AN38" i="566"/>
  <c r="AN34" i="566"/>
  <c r="AO34" i="566"/>
  <c r="AM16" i="566"/>
  <c r="AL16" i="566"/>
  <c r="AM13" i="566"/>
  <c r="AL13" i="566"/>
  <c r="AM7" i="566"/>
  <c r="AL7" i="566"/>
  <c r="AM14" i="566"/>
  <c r="AL14" i="566"/>
  <c r="AM6" i="566"/>
  <c r="AL6" i="566"/>
  <c r="AM15" i="566"/>
  <c r="AL15" i="566"/>
  <c r="AM9" i="566"/>
  <c r="AL9" i="566"/>
  <c r="AM10" i="566"/>
  <c r="AL10" i="566"/>
  <c r="AM11" i="566"/>
  <c r="AL11" i="566"/>
  <c r="AL4" i="566"/>
  <c r="AM4" i="566"/>
  <c r="AM18" i="566"/>
  <c r="AL18" i="566"/>
  <c r="AM5" i="566"/>
  <c r="AL5" i="566"/>
  <c r="AM3" i="566"/>
  <c r="AL3" i="566"/>
  <c r="AX11" i="3"/>
  <c r="AX2" i="3"/>
  <c r="AW10" i="3"/>
  <c r="AW5" i="3"/>
  <c r="AX4" i="3"/>
  <c r="AW13" i="3"/>
  <c r="AW9" i="3"/>
  <c r="AW7" i="3"/>
  <c r="AW4" i="3"/>
  <c r="AX10" i="3"/>
  <c r="AX5" i="3"/>
  <c r="AW11" i="3"/>
  <c r="AW2" i="3"/>
  <c r="AX13" i="3"/>
  <c r="AX7" i="3"/>
  <c r="AX12" i="3"/>
  <c r="AX6" i="3"/>
  <c r="AX3" i="3"/>
  <c r="AX8" i="3"/>
  <c r="AW8" i="3"/>
  <c r="AX9" i="3"/>
  <c r="AW12" i="3"/>
  <c r="AW6" i="3"/>
  <c r="AW3" i="3"/>
  <c r="AP30" i="566" l="1"/>
  <c r="AQ30" i="566"/>
  <c r="AQ29" i="566"/>
  <c r="AP29" i="566"/>
  <c r="AS53" i="566"/>
  <c r="AR53" i="566"/>
  <c r="AQ31" i="566"/>
  <c r="AP31" i="566"/>
  <c r="AS58" i="566"/>
  <c r="AR58" i="566"/>
  <c r="AS64" i="566"/>
  <c r="AR64" i="566"/>
  <c r="AP39" i="566"/>
  <c r="AQ39" i="566"/>
  <c r="AS62" i="566"/>
  <c r="AR62" i="566"/>
  <c r="AP33" i="566"/>
  <c r="AQ33" i="566"/>
  <c r="AP19" i="566"/>
  <c r="AQ19" i="566"/>
  <c r="AQ27" i="566"/>
  <c r="AP27" i="566"/>
  <c r="AR63" i="566"/>
  <c r="AS63" i="566"/>
  <c r="AQ32" i="566"/>
  <c r="AP32" i="566"/>
  <c r="AS57" i="566"/>
  <c r="AR57" i="566"/>
  <c r="AS66" i="566"/>
  <c r="AR66" i="566"/>
  <c r="AQ36" i="566"/>
  <c r="AP36" i="566"/>
  <c r="AP35" i="566"/>
  <c r="AQ35" i="566"/>
  <c r="AS59" i="566"/>
  <c r="AR59" i="566"/>
  <c r="AR51" i="566"/>
  <c r="AS51" i="566"/>
  <c r="AS49" i="566"/>
  <c r="AR49" i="566"/>
  <c r="AQ42" i="566"/>
  <c r="AP42" i="566"/>
  <c r="AS61" i="566"/>
  <c r="AR61" i="566"/>
  <c r="AQ24" i="566"/>
  <c r="AP24" i="566"/>
  <c r="AQ20" i="566"/>
  <c r="AP20" i="566"/>
  <c r="AQ43" i="566"/>
  <c r="AP43" i="566"/>
  <c r="AS60" i="566"/>
  <c r="AR60" i="566"/>
  <c r="AS67" i="566"/>
  <c r="AR67" i="566"/>
  <c r="AP26" i="566"/>
  <c r="AQ26" i="566"/>
  <c r="AR50" i="566"/>
  <c r="AS50" i="566"/>
  <c r="AQ34" i="566"/>
  <c r="AP34" i="566"/>
  <c r="AS54" i="566"/>
  <c r="AR54" i="566"/>
  <c r="AS44" i="566"/>
  <c r="AR44" i="566"/>
  <c r="AQ25" i="566"/>
  <c r="AP25" i="566"/>
  <c r="AQ38" i="566"/>
  <c r="AP38" i="566"/>
  <c r="AQ22" i="566"/>
  <c r="AP22" i="566"/>
  <c r="AQ41" i="566"/>
  <c r="AP41" i="566"/>
  <c r="AS55" i="566"/>
  <c r="AR55" i="566"/>
  <c r="AS52" i="566"/>
  <c r="AR52" i="566"/>
  <c r="AP21" i="566"/>
  <c r="AQ21" i="566"/>
  <c r="AP37" i="566"/>
  <c r="AQ37" i="566"/>
  <c r="AO18" i="566"/>
  <c r="AN18" i="566"/>
  <c r="AO15" i="566"/>
  <c r="AN15" i="566"/>
  <c r="AN11" i="566"/>
  <c r="AO11" i="566"/>
  <c r="AO14" i="566"/>
  <c r="AN14" i="566"/>
  <c r="AO4" i="566"/>
  <c r="AN4" i="566"/>
  <c r="AN6" i="566"/>
  <c r="AO6" i="566"/>
  <c r="AO10" i="566"/>
  <c r="AN10" i="566"/>
  <c r="AO7" i="566"/>
  <c r="AN7" i="566"/>
  <c r="AO3" i="566"/>
  <c r="AN3" i="566"/>
  <c r="AO9" i="566"/>
  <c r="AN9" i="566"/>
  <c r="AO13" i="566"/>
  <c r="AN13" i="566"/>
  <c r="AO5" i="566"/>
  <c r="AN5" i="566"/>
  <c r="AN16" i="566"/>
  <c r="AO16" i="566"/>
  <c r="AB1" i="566"/>
  <c r="AV12" i="3" a="1"/>
  <c r="AV3" i="3" a="1"/>
  <c r="AU5" i="3" a="1"/>
  <c r="AU12" i="3" a="1"/>
  <c r="AU2" i="3" a="1"/>
  <c r="AV4" i="3" a="1"/>
  <c r="AU6" i="3" a="1"/>
  <c r="AU7" i="3" a="1"/>
  <c r="AV9" i="3" a="1"/>
  <c r="AV10" i="3" a="1"/>
  <c r="AV5" i="3" a="1"/>
  <c r="AV13" i="3" a="1"/>
  <c r="AU9" i="3" a="1"/>
  <c r="AV6" i="3" a="1"/>
  <c r="AU3" i="3" a="1"/>
  <c r="AU8" i="3" a="1"/>
  <c r="AV2" i="3" a="1"/>
  <c r="AV8" i="3" a="1"/>
  <c r="AU4" i="3" a="1"/>
  <c r="AU10" i="3" a="1"/>
  <c r="AU11" i="3" a="1"/>
  <c r="AU13" i="3" a="1"/>
  <c r="AV7" i="3" a="1"/>
  <c r="AV11" i="3" a="1"/>
  <c r="AS26" i="566" l="1"/>
  <c r="AR26" i="566"/>
  <c r="AP5" i="566"/>
  <c r="AQ5" i="566"/>
  <c r="AQ6" i="566"/>
  <c r="AP6" i="566"/>
  <c r="AS25" i="566"/>
  <c r="AR25" i="566"/>
  <c r="AR31" i="566"/>
  <c r="AS31" i="566"/>
  <c r="AQ14" i="566"/>
  <c r="AP14" i="566"/>
  <c r="AQ3" i="566"/>
  <c r="AP3" i="566"/>
  <c r="AQ11" i="566"/>
  <c r="AP11" i="566"/>
  <c r="AS38" i="566"/>
  <c r="AR38" i="566"/>
  <c r="AR21" i="566"/>
  <c r="AS21" i="566"/>
  <c r="AS20" i="566"/>
  <c r="AR20" i="566"/>
  <c r="AS32" i="566"/>
  <c r="AR32" i="566"/>
  <c r="AR37" i="566"/>
  <c r="AS37" i="566"/>
  <c r="AQ13" i="566"/>
  <c r="AP13" i="566"/>
  <c r="AS36" i="566"/>
  <c r="AR36" i="566"/>
  <c r="AR29" i="566"/>
  <c r="AS29" i="566"/>
  <c r="AQ15" i="566"/>
  <c r="AP15" i="566"/>
  <c r="AS39" i="566"/>
  <c r="AR39" i="566"/>
  <c r="AQ4" i="566"/>
  <c r="AP4" i="566"/>
  <c r="AS42" i="566"/>
  <c r="AR42" i="566"/>
  <c r="AP9" i="566"/>
  <c r="AQ9" i="566"/>
  <c r="AS33" i="566"/>
  <c r="AR33" i="566"/>
  <c r="AS43" i="566"/>
  <c r="AR43" i="566"/>
  <c r="AQ7" i="566"/>
  <c r="AP7" i="566"/>
  <c r="AS41" i="566"/>
  <c r="AR41" i="566"/>
  <c r="AQ10" i="566"/>
  <c r="AP10" i="566"/>
  <c r="AQ18" i="566"/>
  <c r="AP18" i="566"/>
  <c r="AR22" i="566"/>
  <c r="AS22" i="566"/>
  <c r="AR24" i="566"/>
  <c r="AS24" i="566"/>
  <c r="AS27" i="566"/>
  <c r="AR27" i="566"/>
  <c r="AR19" i="566"/>
  <c r="AS19" i="566"/>
  <c r="AS34" i="566"/>
  <c r="AR34" i="566"/>
  <c r="AQ16" i="566"/>
  <c r="AP16" i="566"/>
  <c r="AR35" i="566"/>
  <c r="AS35" i="566"/>
  <c r="AR30" i="566"/>
  <c r="AS30" i="566"/>
  <c r="AV4" i="3"/>
  <c r="AV9" i="3"/>
  <c r="AU7" i="3"/>
  <c r="AU4" i="3"/>
  <c r="AV12" i="3"/>
  <c r="AV6" i="3"/>
  <c r="AV3" i="3"/>
  <c r="AU11" i="3"/>
  <c r="AU9" i="3"/>
  <c r="AU12" i="3"/>
  <c r="AU3" i="3"/>
  <c r="AV7" i="3"/>
  <c r="AU13" i="3"/>
  <c r="AU6" i="3"/>
  <c r="AV13" i="3"/>
  <c r="AV11" i="3"/>
  <c r="AV10" i="3"/>
  <c r="AV8" i="3"/>
  <c r="AV5" i="3"/>
  <c r="AV2" i="3"/>
  <c r="AU10" i="3"/>
  <c r="AU8" i="3"/>
  <c r="AU5" i="3"/>
  <c r="AU2" i="3"/>
  <c r="AR9" i="566" l="1"/>
  <c r="AS9" i="566"/>
  <c r="AS4" i="566"/>
  <c r="AR4" i="566"/>
  <c r="AS13" i="566"/>
  <c r="AR13" i="566"/>
  <c r="AR7" i="566"/>
  <c r="AS7" i="566"/>
  <c r="AS6" i="566"/>
  <c r="AR6" i="566"/>
  <c r="AS16" i="566"/>
  <c r="AR16" i="566"/>
  <c r="AS14" i="566"/>
  <c r="AR14" i="566"/>
  <c r="AR15" i="566"/>
  <c r="AS15" i="566"/>
  <c r="AS11" i="566"/>
  <c r="AR11" i="566"/>
  <c r="AS5" i="566"/>
  <c r="AR5" i="566"/>
  <c r="AS18" i="566"/>
  <c r="AR18" i="566"/>
  <c r="AS3" i="566"/>
  <c r="AR3" i="566"/>
  <c r="AS10" i="566"/>
  <c r="AR10" i="566"/>
  <c r="P1" i="566"/>
  <c r="R1" i="566" s="1"/>
  <c r="T1" i="566" s="1"/>
  <c r="V1" i="566" s="1"/>
  <c r="X1" i="566" s="1"/>
  <c r="F4" i="566" l="1"/>
  <c r="I4" i="566" s="1"/>
  <c r="G4" i="566"/>
  <c r="F5" i="566"/>
  <c r="I5" i="566" s="1"/>
  <c r="G5" i="566"/>
  <c r="F6" i="566"/>
  <c r="I6" i="566" s="1"/>
  <c r="G6" i="566"/>
  <c r="F7" i="566"/>
  <c r="I7" i="566" s="1"/>
  <c r="G7" i="566"/>
  <c r="F8" i="566"/>
  <c r="H8" i="566" s="1"/>
  <c r="G8" i="566"/>
  <c r="F9" i="566"/>
  <c r="I9" i="566" s="1"/>
  <c r="G9" i="566"/>
  <c r="F10" i="566"/>
  <c r="I10" i="566" s="1"/>
  <c r="G10" i="566"/>
  <c r="F11" i="566"/>
  <c r="I11" i="566" s="1"/>
  <c r="G11" i="566"/>
  <c r="F12" i="566"/>
  <c r="G12" i="566"/>
  <c r="F13" i="566"/>
  <c r="I13" i="566" s="1"/>
  <c r="G13" i="566"/>
  <c r="F14" i="566"/>
  <c r="I14" i="566" s="1"/>
  <c r="G14" i="566"/>
  <c r="F15" i="566"/>
  <c r="I15" i="566" s="1"/>
  <c r="G15" i="566"/>
  <c r="F16" i="566"/>
  <c r="I16" i="566" s="1"/>
  <c r="G16" i="566"/>
  <c r="F17" i="566"/>
  <c r="I17" i="566" s="1"/>
  <c r="G17" i="566"/>
  <c r="F18" i="566"/>
  <c r="I18" i="566" s="1"/>
  <c r="G18" i="566"/>
  <c r="G3" i="566"/>
  <c r="F3" i="566"/>
  <c r="I3" i="566" s="1"/>
  <c r="A27" i="530"/>
  <c r="A28" i="530"/>
  <c r="A29" i="530"/>
  <c r="A22" i="530"/>
  <c r="A23" i="530"/>
  <c r="A24" i="530"/>
  <c r="A25" i="530"/>
  <c r="A26" i="530"/>
  <c r="AQ9" i="3" a="1"/>
  <c r="E26" i="530" a="1"/>
  <c r="AN2" i="3" a="1"/>
  <c r="AI6" i="3" a="1"/>
  <c r="C24" i="530" a="1"/>
  <c r="AT9" i="3" a="1"/>
  <c r="AI10" i="3" a="1"/>
  <c r="AQ10" i="3" a="1"/>
  <c r="AS5" i="3" a="1"/>
  <c r="AM13" i="3" a="1"/>
  <c r="AT10" i="3" a="1"/>
  <c r="AO4" i="3" a="1"/>
  <c r="AJ4" i="3" a="1"/>
  <c r="B28" i="530" a="1"/>
  <c r="AQ6" i="3" a="1"/>
  <c r="AM2" i="3" a="1"/>
  <c r="AI12" i="3" a="1"/>
  <c r="AH5" i="3" a="1"/>
  <c r="AI4" i="3" a="1"/>
  <c r="D23" i="530" a="1"/>
  <c r="AR3" i="3" a="1"/>
  <c r="AM9" i="3" a="1"/>
  <c r="AN10" i="3" a="1"/>
  <c r="G29" i="530" a="1"/>
  <c r="AM12" i="3" a="1"/>
  <c r="AL9" i="3" a="1"/>
  <c r="AP3" i="3" a="1"/>
  <c r="AL11" i="3" a="1"/>
  <c r="F24" i="530" a="1"/>
  <c r="B24" i="530" a="1"/>
  <c r="D25" i="530" a="1"/>
  <c r="AQ12" i="3" a="1"/>
  <c r="AI9" i="3" a="1"/>
  <c r="AT7" i="3" a="1"/>
  <c r="D24" i="530" a="1"/>
  <c r="AP13" i="3" a="1"/>
  <c r="AO6" i="3" a="1"/>
  <c r="AP2" i="3" a="1"/>
  <c r="E29" i="530" a="1"/>
  <c r="AL3" i="3" a="1"/>
  <c r="AH12" i="3" a="1"/>
  <c r="AK11" i="3" a="1"/>
  <c r="AS3" i="3" a="1"/>
  <c r="AR8" i="3" a="1"/>
  <c r="AS4" i="3" a="1"/>
  <c r="AH4" i="3" a="1"/>
  <c r="AT5" i="3" a="1"/>
  <c r="F29" i="530" a="1"/>
  <c r="AO13" i="3" a="1"/>
  <c r="H23" i="530" a="1"/>
  <c r="AP11" i="3" a="1"/>
  <c r="AM3" i="3" a="1"/>
  <c r="AN9" i="3" a="1"/>
  <c r="D22" i="530" a="1"/>
  <c r="H22" i="530" a="1"/>
  <c r="AL2" i="3" a="1"/>
  <c r="F23" i="530" a="1"/>
  <c r="B23" i="530" a="1"/>
  <c r="G28" i="530" a="1"/>
  <c r="AL4" i="3" a="1"/>
  <c r="AR5" i="3" a="1"/>
  <c r="D28" i="530" a="1"/>
  <c r="AO3" i="3" a="1"/>
  <c r="D26" i="530" a="1"/>
  <c r="AH10" i="3" a="1"/>
  <c r="AO10" i="3" a="1"/>
  <c r="AM5" i="3" a="1"/>
  <c r="AJ12" i="3" a="1"/>
  <c r="AJ8" i="3" a="1"/>
  <c r="AL13" i="3" a="1"/>
  <c r="B27" i="530" a="1"/>
  <c r="F26" i="530" a="1"/>
  <c r="AP8" i="3" a="1"/>
  <c r="H28" i="530" a="1"/>
  <c r="AP10" i="3" a="1"/>
  <c r="AT11" i="3" a="1"/>
  <c r="AR2" i="3" a="1"/>
  <c r="AJ9" i="3" a="1"/>
  <c r="G22" i="530" a="1"/>
  <c r="AO7" i="3" a="1"/>
  <c r="AN11" i="3" a="1"/>
  <c r="AI2" i="3" a="1"/>
  <c r="AQ7" i="3" a="1"/>
  <c r="AP12" i="3" a="1"/>
  <c r="AO5" i="3" a="1"/>
  <c r="AI11" i="3" a="1"/>
  <c r="C27" i="530" a="1"/>
  <c r="AH7" i="3" a="1"/>
  <c r="AN4" i="3" a="1"/>
  <c r="E22" i="530" a="1"/>
  <c r="AK10" i="3" a="1"/>
  <c r="AS8" i="3" a="1"/>
  <c r="AN13" i="3" a="1"/>
  <c r="D29" i="530" a="1"/>
  <c r="AT12" i="3" a="1"/>
  <c r="G26" i="530" a="1"/>
  <c r="AP5" i="3" a="1"/>
  <c r="AH8" i="3" a="1"/>
  <c r="AK9" i="3" a="1"/>
  <c r="AH6" i="3" a="1"/>
  <c r="AJ10" i="3" a="1"/>
  <c r="AJ5" i="3" a="1"/>
  <c r="AI5" i="3" a="1"/>
  <c r="F25" i="530" a="1"/>
  <c r="AJ11" i="3" a="1"/>
  <c r="AK7" i="3" a="1"/>
  <c r="AH11" i="3" a="1"/>
  <c r="AJ6" i="3" a="1"/>
  <c r="H24" i="530" a="1"/>
  <c r="AJ2" i="3" a="1"/>
  <c r="E23" i="530" a="1"/>
  <c r="AR9" i="3" a="1"/>
  <c r="F27" i="530" a="1"/>
  <c r="B29" i="530" a="1"/>
  <c r="AP9" i="3" a="1"/>
  <c r="AQ5" i="3" a="1"/>
  <c r="H29" i="530" a="1"/>
  <c r="AI8" i="3" a="1"/>
  <c r="C29" i="530" a="1"/>
  <c r="C23" i="530" a="1"/>
  <c r="AL10" i="3" a="1"/>
  <c r="AM8" i="3" a="1"/>
  <c r="AK6" i="3" a="1"/>
  <c r="AQ3" i="3" a="1"/>
  <c r="AO2" i="3" a="1"/>
  <c r="AM7" i="3" a="1"/>
  <c r="AI13" i="3" a="1"/>
  <c r="C26" i="530" a="1"/>
  <c r="AQ8" i="3" a="1"/>
  <c r="AL8" i="3" a="1"/>
  <c r="AQ2" i="3" a="1"/>
  <c r="AL7" i="3" a="1"/>
  <c r="AS6" i="3" a="1"/>
  <c r="H26" i="530" a="1"/>
  <c r="AI3" i="3" a="1"/>
  <c r="AR13" i="3" a="1"/>
  <c r="AO11" i="3" a="1"/>
  <c r="E27" i="530" a="1"/>
  <c r="C28" i="530" a="1"/>
  <c r="F22" i="530" a="1"/>
  <c r="AM11" i="3" a="1"/>
  <c r="AK3" i="3" a="1"/>
  <c r="AK13" i="3" a="1"/>
  <c r="G25" i="530" a="1"/>
  <c r="AO12" i="3" a="1"/>
  <c r="AS7" i="3" a="1"/>
  <c r="AP4" i="3" a="1"/>
  <c r="C25" i="530" a="1"/>
  <c r="B26" i="530" a="1"/>
  <c r="AN3" i="3" a="1"/>
  <c r="AJ7" i="3" a="1"/>
  <c r="G27" i="530" a="1"/>
  <c r="AK4" i="3" a="1"/>
  <c r="AR6" i="3" a="1"/>
  <c r="AT13" i="3" a="1"/>
  <c r="D27" i="530" a="1"/>
  <c r="AQ4" i="3" a="1"/>
  <c r="AN5" i="3" a="1"/>
  <c r="AK2" i="3" a="1"/>
  <c r="AK8" i="3" a="1"/>
  <c r="AS9" i="3" a="1"/>
  <c r="AN12" i="3" a="1"/>
  <c r="AT6" i="3" a="1"/>
  <c r="AR12" i="3" a="1"/>
  <c r="AQ11" i="3" a="1"/>
  <c r="C22" i="530" a="1"/>
  <c r="AK12" i="3" a="1"/>
  <c r="G23" i="530" a="1"/>
  <c r="AR10" i="3" a="1"/>
  <c r="AT3" i="3" a="1"/>
  <c r="AP7" i="3" a="1"/>
  <c r="AN8" i="3" a="1"/>
  <c r="AT2" i="3" a="1"/>
  <c r="AH3" i="3" a="1"/>
  <c r="B25" i="530" a="1"/>
  <c r="F28" i="530" a="1"/>
  <c r="AL12" i="3" a="1"/>
  <c r="AK5" i="3" a="1"/>
  <c r="AH13" i="3" a="1"/>
  <c r="AJ3" i="3" a="1"/>
  <c r="H25" i="530" a="1"/>
  <c r="AO8" i="3" a="1"/>
  <c r="AM4" i="3" a="1"/>
  <c r="AH9" i="3" a="1"/>
  <c r="AS2" i="3" a="1"/>
  <c r="AS11" i="3" a="1"/>
  <c r="AJ13" i="3" a="1"/>
  <c r="AS10" i="3" a="1"/>
  <c r="E25" i="530" a="1"/>
  <c r="AN6" i="3" a="1"/>
  <c r="AS13" i="3" a="1"/>
  <c r="G24" i="530" a="1"/>
  <c r="E28" i="530" a="1"/>
  <c r="AT8" i="3" a="1"/>
  <c r="H27" i="530" a="1"/>
  <c r="AS12" i="3" a="1"/>
  <c r="AL6" i="3" a="1"/>
  <c r="AR4" i="3" a="1"/>
  <c r="B22" i="530" a="1"/>
  <c r="AL5" i="3" a="1"/>
  <c r="AM10" i="3" a="1"/>
  <c r="AQ13" i="3" a="1"/>
  <c r="AM6" i="3" a="1"/>
  <c r="AP6" i="3" a="1"/>
  <c r="AN7" i="3" a="1"/>
  <c r="AR11" i="3" a="1"/>
  <c r="AI7" i="3" a="1"/>
  <c r="AH2" i="3" a="1"/>
  <c r="E24" i="530" a="1"/>
  <c r="AT4" i="3" a="1"/>
  <c r="AR7" i="3" a="1"/>
  <c r="AO9" i="3" a="1"/>
  <c r="AO4" i="3" l="1"/>
  <c r="AQ6" i="3"/>
  <c r="AK9" i="3"/>
  <c r="AQ4" i="3"/>
  <c r="AQ11" i="3"/>
  <c r="AI10" i="3"/>
  <c r="AK4" i="3"/>
  <c r="AM12" i="3"/>
  <c r="AL11" i="3"/>
  <c r="AR4" i="3"/>
  <c r="AJ7" i="3"/>
  <c r="AP2" i="3"/>
  <c r="AQ5" i="3"/>
  <c r="AN2" i="3"/>
  <c r="AT13" i="3"/>
  <c r="AM4" i="3"/>
  <c r="AO11" i="3"/>
  <c r="AQ2" i="3"/>
  <c r="AO9" i="3"/>
  <c r="AL6" i="3"/>
  <c r="AJ5" i="3"/>
  <c r="AS12" i="3"/>
  <c r="AM3" i="3"/>
  <c r="AR12" i="3"/>
  <c r="AR7" i="3"/>
  <c r="AQ9" i="3"/>
  <c r="AM7" i="3"/>
  <c r="AP8" i="3"/>
  <c r="AR10" i="3"/>
  <c r="AL10" i="3"/>
  <c r="AI3" i="3"/>
  <c r="AS5" i="3"/>
  <c r="AL8" i="3"/>
  <c r="AI11" i="3"/>
  <c r="AS7" i="3"/>
  <c r="AJ4" i="3"/>
  <c r="AT5" i="3"/>
  <c r="AM10" i="3"/>
  <c r="AI9" i="3"/>
  <c r="AH7" i="3"/>
  <c r="AJ9" i="3"/>
  <c r="AT6" i="3"/>
  <c r="AJ13" i="3"/>
  <c r="AN7" i="3"/>
  <c r="AH9" i="3"/>
  <c r="AK13" i="3"/>
  <c r="AO6" i="3"/>
  <c r="AH2" i="3"/>
  <c r="AT11" i="3"/>
  <c r="AM13" i="3"/>
  <c r="AN11" i="3"/>
  <c r="AI12" i="3"/>
  <c r="AM11" i="3"/>
  <c r="AJ8" i="3"/>
  <c r="AH12" i="3"/>
  <c r="AN6" i="3"/>
  <c r="AM8" i="3"/>
  <c r="AO5" i="3"/>
  <c r="AS3" i="3"/>
  <c r="AK11" i="3"/>
  <c r="AS8" i="3"/>
  <c r="AN4" i="3"/>
  <c r="AL7" i="3"/>
  <c r="AN3" i="3"/>
  <c r="AO10" i="3"/>
  <c r="AN8" i="3"/>
  <c r="AK7" i="3"/>
  <c r="AH3" i="3"/>
  <c r="AM5" i="3"/>
  <c r="AS2" i="3"/>
  <c r="AH5" i="3"/>
  <c r="AO8" i="3"/>
  <c r="AN5" i="3"/>
  <c r="AK12" i="3"/>
  <c r="AH6" i="3"/>
  <c r="AT3" i="3"/>
  <c r="AL2" i="3"/>
  <c r="AO7" i="3"/>
  <c r="AJ6" i="3"/>
  <c r="AP13" i="3"/>
  <c r="AT10" i="3"/>
  <c r="AP3" i="3"/>
  <c r="AT2" i="3"/>
  <c r="AN12" i="3"/>
  <c r="AM9" i="3"/>
  <c r="AQ10" i="3"/>
  <c r="AI5" i="3"/>
  <c r="AH8" i="3"/>
  <c r="AT7" i="3"/>
  <c r="AQ7" i="3"/>
  <c r="AI2" i="3"/>
  <c r="AN9" i="3"/>
  <c r="AS6" i="3"/>
  <c r="AP5" i="3"/>
  <c r="AP12" i="3"/>
  <c r="AT4" i="3"/>
  <c r="AP7" i="3"/>
  <c r="AR11" i="3"/>
  <c r="AH11" i="3"/>
  <c r="AR3" i="3"/>
  <c r="AL4" i="3"/>
  <c r="AK3" i="3"/>
  <c r="AK10" i="3"/>
  <c r="AL5" i="3"/>
  <c r="AJ11" i="3"/>
  <c r="AM2" i="3"/>
  <c r="AP6" i="3"/>
  <c r="AP10" i="3"/>
  <c r="AS11" i="3"/>
  <c r="AH4" i="3"/>
  <c r="AL9" i="3"/>
  <c r="AJ10" i="3"/>
  <c r="AJ12" i="3"/>
  <c r="AS10" i="3"/>
  <c r="AN10" i="3"/>
  <c r="AR8" i="3"/>
  <c r="AT9" i="3"/>
  <c r="AN13" i="3"/>
  <c r="AS4" i="3"/>
  <c r="AK5" i="3"/>
  <c r="AI6" i="3"/>
  <c r="AI8" i="3"/>
  <c r="AL12" i="3"/>
  <c r="AM6" i="3"/>
  <c r="AQ3" i="3"/>
  <c r="AI13" i="3"/>
  <c r="AR5" i="3"/>
  <c r="AK2" i="3"/>
  <c r="AT8" i="3"/>
  <c r="AK8" i="3"/>
  <c r="AR6" i="3"/>
  <c r="AK6" i="3"/>
  <c r="AH10" i="3"/>
  <c r="AR2" i="3"/>
  <c r="AJ2" i="3"/>
  <c r="AS13" i="3"/>
  <c r="AJ3" i="3"/>
  <c r="AO3" i="3"/>
  <c r="AI7" i="3"/>
  <c r="AR9" i="3"/>
  <c r="AO2" i="3"/>
  <c r="AP4" i="3"/>
  <c r="AP9" i="3"/>
  <c r="AQ12" i="3"/>
  <c r="AL3" i="3"/>
  <c r="AI4" i="3"/>
  <c r="AO13" i="3"/>
  <c r="AH13" i="3"/>
  <c r="AT12" i="3"/>
  <c r="AQ8" i="3"/>
  <c r="AQ13" i="3"/>
  <c r="AP11" i="3"/>
  <c r="AO12" i="3"/>
  <c r="AS9" i="3"/>
  <c r="AL13" i="3"/>
  <c r="AR13" i="3"/>
  <c r="H16" i="566"/>
  <c r="K16" i="566" s="1"/>
  <c r="H17" i="566"/>
  <c r="J17" i="566" s="1"/>
  <c r="M17" i="566" s="1"/>
  <c r="H7" i="566"/>
  <c r="J7" i="566" s="1"/>
  <c r="L7" i="566" s="1"/>
  <c r="H3" i="566"/>
  <c r="I8" i="566"/>
  <c r="K8" i="566"/>
  <c r="J8" i="566"/>
  <c r="H9" i="566"/>
  <c r="H18" i="566"/>
  <c r="H4" i="566"/>
  <c r="H13" i="566"/>
  <c r="H5" i="566"/>
  <c r="H10" i="566"/>
  <c r="H14" i="566"/>
  <c r="H6" i="566"/>
  <c r="H11" i="566"/>
  <c r="H15" i="566"/>
  <c r="E28" i="530"/>
  <c r="F27" i="530"/>
  <c r="D28" i="530"/>
  <c r="H29" i="530"/>
  <c r="B29" i="530"/>
  <c r="E27" i="530"/>
  <c r="D29" i="530"/>
  <c r="C29" i="530"/>
  <c r="C28" i="530"/>
  <c r="G27" i="530"/>
  <c r="G29" i="530"/>
  <c r="D27" i="530"/>
  <c r="H28" i="530"/>
  <c r="B28" i="530"/>
  <c r="F29" i="530"/>
  <c r="C27" i="530"/>
  <c r="G28" i="530"/>
  <c r="E29" i="530"/>
  <c r="H27" i="530"/>
  <c r="B27" i="530"/>
  <c r="F28" i="530"/>
  <c r="G26" i="530"/>
  <c r="D24" i="530"/>
  <c r="G22" i="530"/>
  <c r="H25" i="530"/>
  <c r="B25" i="530"/>
  <c r="G25" i="530"/>
  <c r="E26" i="530"/>
  <c r="H24" i="530"/>
  <c r="B24" i="530"/>
  <c r="E22" i="530"/>
  <c r="E23" i="530"/>
  <c r="F26" i="530"/>
  <c r="F22" i="530"/>
  <c r="D23" i="530"/>
  <c r="F25" i="530"/>
  <c r="C23" i="530"/>
  <c r="C26" i="530"/>
  <c r="C24" i="530"/>
  <c r="D26" i="530"/>
  <c r="G24" i="530"/>
  <c r="D22" i="530"/>
  <c r="E25" i="530"/>
  <c r="H23" i="530"/>
  <c r="B23" i="530"/>
  <c r="C22" i="530"/>
  <c r="D25" i="530"/>
  <c r="G23" i="530"/>
  <c r="H26" i="530"/>
  <c r="B26" i="530"/>
  <c r="E24" i="530"/>
  <c r="H22" i="530"/>
  <c r="B22" i="530"/>
  <c r="F24" i="530"/>
  <c r="C25" i="530"/>
  <c r="F23" i="530"/>
  <c r="J16" i="566" l="1"/>
  <c r="M16" i="566" s="1"/>
  <c r="M7" i="566"/>
  <c r="L17" i="566"/>
  <c r="O17" i="566" s="1"/>
  <c r="K7" i="566"/>
  <c r="K17" i="566"/>
  <c r="O7" i="566"/>
  <c r="N7" i="566"/>
  <c r="J3" i="566"/>
  <c r="K3" i="566"/>
  <c r="K9" i="566"/>
  <c r="J9" i="566"/>
  <c r="K11" i="566"/>
  <c r="J11" i="566"/>
  <c r="K14" i="566"/>
  <c r="J14" i="566"/>
  <c r="K10" i="566"/>
  <c r="J10" i="566"/>
  <c r="K5" i="566"/>
  <c r="J5" i="566"/>
  <c r="J13" i="566"/>
  <c r="K13" i="566"/>
  <c r="K4" i="566"/>
  <c r="J4" i="566"/>
  <c r="K15" i="566"/>
  <c r="J15" i="566"/>
  <c r="L8" i="566"/>
  <c r="M8" i="566"/>
  <c r="K18" i="566"/>
  <c r="J18" i="566"/>
  <c r="K6" i="566"/>
  <c r="J6" i="566"/>
  <c r="A3" i="530"/>
  <c r="A4" i="530"/>
  <c r="A5" i="530"/>
  <c r="A6" i="530"/>
  <c r="A7" i="530"/>
  <c r="A8" i="530"/>
  <c r="A9" i="530"/>
  <c r="A10" i="530"/>
  <c r="A11" i="530"/>
  <c r="A12" i="530"/>
  <c r="A13" i="530"/>
  <c r="A14" i="530"/>
  <c r="A15" i="530"/>
  <c r="A16" i="530"/>
  <c r="A17" i="530"/>
  <c r="A18" i="530"/>
  <c r="A19" i="530"/>
  <c r="A20" i="530"/>
  <c r="A21" i="530"/>
  <c r="A2" i="530"/>
  <c r="G2" i="530" a="1"/>
  <c r="E11" i="530" a="1"/>
  <c r="B9" i="530" a="1"/>
  <c r="F17" i="530" a="1"/>
  <c r="H4" i="530" a="1"/>
  <c r="D19" i="530" a="1"/>
  <c r="B16" i="530" a="1"/>
  <c r="C18" i="530" a="1"/>
  <c r="C19" i="530" a="1"/>
  <c r="D10" i="530" a="1"/>
  <c r="E2" i="530" a="1"/>
  <c r="C10" i="530" a="1"/>
  <c r="F7" i="530" a="1"/>
  <c r="C16" i="530" a="1"/>
  <c r="H9" i="530" a="1"/>
  <c r="B12" i="530" a="1"/>
  <c r="E15" i="530" a="1"/>
  <c r="D12" i="530" a="1"/>
  <c r="G4" i="530" a="1"/>
  <c r="G15" i="530" a="1"/>
  <c r="D16" i="530" a="1"/>
  <c r="G7" i="530" a="1"/>
  <c r="D5" i="530" a="1"/>
  <c r="E7" i="530" a="1"/>
  <c r="C5" i="530" a="1"/>
  <c r="H19" i="530" a="1"/>
  <c r="G8" i="530" a="1"/>
  <c r="D4" i="530" a="1"/>
  <c r="G16" i="530" a="1"/>
  <c r="F19" i="530" a="1"/>
  <c r="E3" i="530" a="1"/>
  <c r="G20" i="530" a="1"/>
  <c r="F11" i="530" a="1"/>
  <c r="B20" i="530" a="1"/>
  <c r="F10" i="530" a="1"/>
  <c r="C15" i="530" a="1"/>
  <c r="H15" i="530" a="1"/>
  <c r="F21" i="530" a="1"/>
  <c r="B2" i="530" a="1"/>
  <c r="E10" i="530" a="1"/>
  <c r="G6" i="530" a="1"/>
  <c r="B13" i="530" a="1"/>
  <c r="B11" i="530" a="1"/>
  <c r="H10" i="530" a="1"/>
  <c r="G18" i="530" a="1"/>
  <c r="B7" i="530" a="1"/>
  <c r="H20" i="530" a="1"/>
  <c r="H18" i="530" a="1"/>
  <c r="H14" i="530" a="1"/>
  <c r="G19" i="530" a="1"/>
  <c r="B21" i="530" a="1"/>
  <c r="H3" i="530" a="1"/>
  <c r="C7" i="530" a="1"/>
  <c r="F9" i="530" a="1"/>
  <c r="F5" i="530" a="1"/>
  <c r="D14" i="530" a="1"/>
  <c r="C3" i="530" a="1"/>
  <c r="D11" i="530" a="1"/>
  <c r="F4" i="530" a="1"/>
  <c r="C6" i="530" a="1"/>
  <c r="D6" i="530" a="1"/>
  <c r="H16" i="530" a="1"/>
  <c r="F12" i="530" a="1"/>
  <c r="D15" i="530" a="1"/>
  <c r="C21" i="530" a="1"/>
  <c r="C11" i="530" a="1"/>
  <c r="F6" i="530" a="1"/>
  <c r="D3" i="530" a="1"/>
  <c r="G12" i="530" a="1"/>
  <c r="G5" i="530" a="1"/>
  <c r="G13" i="530" a="1"/>
  <c r="B14" i="530" a="1"/>
  <c r="F20" i="530" a="1"/>
  <c r="H7" i="530" a="1"/>
  <c r="F2" i="530" a="1"/>
  <c r="H12" i="530" a="1"/>
  <c r="C8" i="530" a="1"/>
  <c r="B15" i="530" a="1"/>
  <c r="H17" i="530" a="1"/>
  <c r="D17" i="530" a="1"/>
  <c r="B3" i="530" a="1"/>
  <c r="F3" i="530" a="1"/>
  <c r="D21" i="530" a="1"/>
  <c r="F18" i="530" a="1"/>
  <c r="C17" i="530" a="1"/>
  <c r="F16" i="530" a="1"/>
  <c r="B4" i="530" a="1"/>
  <c r="F8" i="530" a="1"/>
  <c r="H21" i="530" a="1"/>
  <c r="B5" i="530" a="1"/>
  <c r="D18" i="530" a="1"/>
  <c r="E12" i="530" a="1"/>
  <c r="E6" i="530" a="1"/>
  <c r="E20" i="530" a="1"/>
  <c r="E18" i="530" a="1"/>
  <c r="F13" i="530" a="1"/>
  <c r="G17" i="530" a="1"/>
  <c r="H6" i="530" a="1"/>
  <c r="B17" i="530" a="1"/>
  <c r="H13" i="530" a="1"/>
  <c r="F15" i="530" a="1"/>
  <c r="H11" i="530" a="1"/>
  <c r="G11" i="530" a="1"/>
  <c r="G10" i="530" a="1"/>
  <c r="E13" i="530" a="1"/>
  <c r="H2" i="530" a="1"/>
  <c r="E9" i="530" a="1"/>
  <c r="B6" i="530" a="1"/>
  <c r="F14" i="530" a="1"/>
  <c r="B19" i="530" a="1"/>
  <c r="C14" i="530" a="1"/>
  <c r="C4" i="530" a="1"/>
  <c r="G9" i="530" a="1"/>
  <c r="H8" i="530" a="1"/>
  <c r="D2" i="530" a="1"/>
  <c r="C9" i="530" a="1"/>
  <c r="B8" i="530" a="1"/>
  <c r="E5" i="530" a="1"/>
  <c r="D7" i="530" a="1"/>
  <c r="D9" i="530" a="1"/>
  <c r="B18" i="530" a="1"/>
  <c r="D13" i="530" a="1"/>
  <c r="E17" i="530" a="1"/>
  <c r="E19" i="530" a="1"/>
  <c r="D20" i="530" a="1"/>
  <c r="H5" i="530" a="1"/>
  <c r="E14" i="530" a="1"/>
  <c r="G21" i="530" a="1"/>
  <c r="B10" i="530" a="1"/>
  <c r="E16" i="530" a="1"/>
  <c r="D8" i="530" a="1"/>
  <c r="C20" i="530" a="1"/>
  <c r="E21" i="530" a="1"/>
  <c r="E8" i="530" a="1"/>
  <c r="C2" i="530" a="1"/>
  <c r="C12" i="530" a="1"/>
  <c r="G14" i="530" a="1"/>
  <c r="C13" i="530" a="1"/>
  <c r="E4" i="530" a="1"/>
  <c r="G3" i="530" a="1"/>
  <c r="L16" i="566" l="1"/>
  <c r="O16" i="566" s="1"/>
  <c r="N17" i="566"/>
  <c r="Q17" i="566" s="1"/>
  <c r="M3" i="566"/>
  <c r="L3" i="566"/>
  <c r="P7" i="566"/>
  <c r="Q7" i="566"/>
  <c r="O8" i="566"/>
  <c r="N8" i="566"/>
  <c r="M15" i="566"/>
  <c r="L15" i="566"/>
  <c r="M11" i="566"/>
  <c r="L11" i="566"/>
  <c r="L4" i="566"/>
  <c r="M4" i="566"/>
  <c r="M10" i="566"/>
  <c r="L10" i="566"/>
  <c r="L6" i="566"/>
  <c r="M6" i="566"/>
  <c r="M18" i="566"/>
  <c r="L18" i="566"/>
  <c r="M14" i="566"/>
  <c r="L14" i="566"/>
  <c r="M5" i="566"/>
  <c r="L5" i="566"/>
  <c r="M9" i="566"/>
  <c r="L9" i="566"/>
  <c r="M13" i="566"/>
  <c r="L13" i="566"/>
  <c r="F19" i="530"/>
  <c r="E14" i="530"/>
  <c r="C10" i="530"/>
  <c r="H5" i="530"/>
  <c r="D19" i="530"/>
  <c r="G16" i="530"/>
  <c r="C14" i="530"/>
  <c r="H9" i="530"/>
  <c r="E6" i="530"/>
  <c r="G4" i="530"/>
  <c r="H20" i="530"/>
  <c r="D18" i="530"/>
  <c r="G15" i="530"/>
  <c r="C13" i="530"/>
  <c r="F10" i="530"/>
  <c r="B8" i="530"/>
  <c r="G3" i="530"/>
  <c r="F21" i="530"/>
  <c r="G20" i="530"/>
  <c r="H19" i="530"/>
  <c r="B19" i="530"/>
  <c r="C18" i="530"/>
  <c r="D17" i="530"/>
  <c r="E16" i="530"/>
  <c r="F15" i="530"/>
  <c r="G14" i="530"/>
  <c r="H13" i="530"/>
  <c r="B13" i="530"/>
  <c r="C12" i="530"/>
  <c r="D11" i="530"/>
  <c r="E10" i="530"/>
  <c r="F9" i="530"/>
  <c r="G8" i="530"/>
  <c r="H7" i="530"/>
  <c r="B7" i="530"/>
  <c r="C6" i="530"/>
  <c r="D5" i="530"/>
  <c r="E4" i="530"/>
  <c r="F3" i="530"/>
  <c r="E20" i="530"/>
  <c r="F13" i="530"/>
  <c r="E12" i="530"/>
  <c r="G18" i="530"/>
  <c r="H11" i="530"/>
  <c r="C4" i="530"/>
  <c r="C20" i="530"/>
  <c r="H15" i="530"/>
  <c r="F11" i="530"/>
  <c r="C8" i="530"/>
  <c r="F5" i="530"/>
  <c r="B20" i="530"/>
  <c r="F16" i="530"/>
  <c r="B14" i="530"/>
  <c r="E11" i="530"/>
  <c r="H8" i="530"/>
  <c r="D6" i="530"/>
  <c r="E5" i="530"/>
  <c r="F20" i="530"/>
  <c r="H18" i="530"/>
  <c r="C17" i="530"/>
  <c r="D16" i="530"/>
  <c r="F14" i="530"/>
  <c r="G13" i="530"/>
  <c r="H12" i="530"/>
  <c r="B12" i="530"/>
  <c r="C11" i="530"/>
  <c r="D10" i="530"/>
  <c r="E9" i="530"/>
  <c r="F8" i="530"/>
  <c r="G7" i="530"/>
  <c r="H6" i="530"/>
  <c r="B6" i="530"/>
  <c r="C5" i="530"/>
  <c r="D4" i="530"/>
  <c r="E3" i="530"/>
  <c r="H17" i="530"/>
  <c r="G12" i="530"/>
  <c r="E8" i="530"/>
  <c r="B5" i="530"/>
  <c r="H21" i="530"/>
  <c r="B21" i="530"/>
  <c r="E18" i="530"/>
  <c r="B15" i="530"/>
  <c r="D13" i="530"/>
  <c r="G10" i="530"/>
  <c r="D7" i="530"/>
  <c r="H3" i="530"/>
  <c r="G21" i="530"/>
  <c r="C19" i="530"/>
  <c r="E17" i="530"/>
  <c r="H14" i="530"/>
  <c r="D12" i="530"/>
  <c r="G9" i="530"/>
  <c r="C7" i="530"/>
  <c r="F4" i="530"/>
  <c r="E21" i="530"/>
  <c r="G19" i="530"/>
  <c r="B18" i="530"/>
  <c r="E15" i="530"/>
  <c r="D15" i="530"/>
  <c r="B17" i="530"/>
  <c r="B11" i="530"/>
  <c r="F7" i="530"/>
  <c r="G6" i="530"/>
  <c r="C21" i="530"/>
  <c r="D20" i="530"/>
  <c r="E19" i="530"/>
  <c r="F18" i="530"/>
  <c r="G17" i="530"/>
  <c r="H16" i="530"/>
  <c r="B16" i="530"/>
  <c r="C15" i="530"/>
  <c r="D14" i="530"/>
  <c r="E13" i="530"/>
  <c r="F12" i="530"/>
  <c r="G11" i="530"/>
  <c r="H10" i="530"/>
  <c r="B10" i="530"/>
  <c r="C9" i="530"/>
  <c r="D8" i="530"/>
  <c r="E7" i="530"/>
  <c r="F6" i="530"/>
  <c r="G5" i="530"/>
  <c r="H4" i="530"/>
  <c r="B4" i="530"/>
  <c r="C3" i="530"/>
  <c r="D21" i="530"/>
  <c r="C16" i="530"/>
  <c r="D9" i="530"/>
  <c r="D3" i="530"/>
  <c r="F17" i="530"/>
  <c r="B9" i="530"/>
  <c r="B3" i="530"/>
  <c r="H2" i="530"/>
  <c r="G2" i="530"/>
  <c r="C2" i="530"/>
  <c r="E2" i="530"/>
  <c r="D2" i="530"/>
  <c r="F2" i="530"/>
  <c r="B2" i="530"/>
  <c r="N16" i="566" l="1"/>
  <c r="Q16" i="566" s="1"/>
  <c r="P17" i="566"/>
  <c r="S17" i="566" s="1"/>
  <c r="O14" i="566"/>
  <c r="N14" i="566"/>
  <c r="O13" i="566"/>
  <c r="N13" i="566"/>
  <c r="O18" i="566"/>
  <c r="N18" i="566"/>
  <c r="O11" i="566"/>
  <c r="N11" i="566"/>
  <c r="O4" i="566"/>
  <c r="N4" i="566"/>
  <c r="O15" i="566"/>
  <c r="N15" i="566"/>
  <c r="N9" i="566"/>
  <c r="O9" i="566"/>
  <c r="Q8" i="566"/>
  <c r="P8" i="566"/>
  <c r="N6" i="566"/>
  <c r="O6" i="566"/>
  <c r="S7" i="566"/>
  <c r="R7" i="566"/>
  <c r="O5" i="566"/>
  <c r="N5" i="566"/>
  <c r="O10" i="566"/>
  <c r="N10" i="566"/>
  <c r="N3" i="566"/>
  <c r="O3" i="566"/>
  <c r="P16" i="566" l="1"/>
  <c r="S16" i="566" s="1"/>
  <c r="R17" i="566"/>
  <c r="U17" i="566" s="1"/>
  <c r="Q4" i="566"/>
  <c r="P4" i="566"/>
  <c r="Q6" i="566"/>
  <c r="P6" i="566"/>
  <c r="Q18" i="566"/>
  <c r="P18" i="566"/>
  <c r="P14" i="566"/>
  <c r="Q14" i="566"/>
  <c r="Q11" i="566"/>
  <c r="P11" i="566"/>
  <c r="Q9" i="566"/>
  <c r="P9" i="566"/>
  <c r="R8" i="566"/>
  <c r="S8" i="566"/>
  <c r="Q13" i="566"/>
  <c r="P13" i="566"/>
  <c r="Q5" i="566"/>
  <c r="P5" i="566"/>
  <c r="Q15" i="566"/>
  <c r="P15" i="566"/>
  <c r="Q3" i="566"/>
  <c r="P3" i="566"/>
  <c r="Q10" i="566"/>
  <c r="P10" i="566"/>
  <c r="T7" i="566"/>
  <c r="U7" i="566"/>
  <c r="R16" i="566" l="1"/>
  <c r="U16" i="566" s="1"/>
  <c r="T17" i="566"/>
  <c r="W17" i="566" s="1"/>
  <c r="S13" i="566"/>
  <c r="R13" i="566"/>
  <c r="R10" i="566"/>
  <c r="S10" i="566"/>
  <c r="R18" i="566"/>
  <c r="S18" i="566"/>
  <c r="T8" i="566"/>
  <c r="U8" i="566"/>
  <c r="S3" i="566"/>
  <c r="R3" i="566"/>
  <c r="S9" i="566"/>
  <c r="R9" i="566"/>
  <c r="R15" i="566"/>
  <c r="S15" i="566"/>
  <c r="S11" i="566"/>
  <c r="R11" i="566"/>
  <c r="S6" i="566"/>
  <c r="R6" i="566"/>
  <c r="W7" i="566"/>
  <c r="V7" i="566"/>
  <c r="S5" i="566"/>
  <c r="R5" i="566"/>
  <c r="R4" i="566"/>
  <c r="S4" i="566"/>
  <c r="R14" i="566"/>
  <c r="S14" i="566"/>
  <c r="T16" i="566" l="1"/>
  <c r="W16" i="566" s="1"/>
  <c r="V17" i="566"/>
  <c r="Y17" i="566" s="1"/>
  <c r="Y7" i="566"/>
  <c r="X7" i="566"/>
  <c r="U13" i="566"/>
  <c r="T13" i="566"/>
  <c r="W8" i="566"/>
  <c r="V8" i="566"/>
  <c r="U11" i="566"/>
  <c r="T11" i="566"/>
  <c r="U6" i="566"/>
  <c r="T6" i="566"/>
  <c r="U14" i="566"/>
  <c r="T14" i="566"/>
  <c r="T10" i="566"/>
  <c r="U10" i="566"/>
  <c r="U9" i="566"/>
  <c r="T9" i="566"/>
  <c r="U4" i="566"/>
  <c r="T4" i="566"/>
  <c r="U5" i="566"/>
  <c r="T5" i="566"/>
  <c r="U15" i="566"/>
  <c r="T15" i="566"/>
  <c r="U3" i="566"/>
  <c r="T3" i="566"/>
  <c r="T18" i="566"/>
  <c r="U18" i="566"/>
  <c r="V16" i="566" l="1"/>
  <c r="Y16" i="566" s="1"/>
  <c r="X17" i="566"/>
  <c r="AA17" i="566" s="1"/>
  <c r="X8" i="566"/>
  <c r="Y8" i="566"/>
  <c r="W15" i="566"/>
  <c r="V15" i="566"/>
  <c r="W9" i="566"/>
  <c r="V9" i="566"/>
  <c r="W11" i="566"/>
  <c r="V11" i="566"/>
  <c r="V10" i="566"/>
  <c r="W10" i="566"/>
  <c r="W3" i="566"/>
  <c r="V3" i="566"/>
  <c r="W5" i="566"/>
  <c r="V5" i="566"/>
  <c r="W14" i="566"/>
  <c r="V14" i="566"/>
  <c r="W18" i="566"/>
  <c r="V18" i="566"/>
  <c r="W4" i="566"/>
  <c r="V4" i="566"/>
  <c r="W6" i="566"/>
  <c r="V6" i="566"/>
  <c r="W13" i="566"/>
  <c r="V13" i="566"/>
  <c r="X16" i="566" l="1"/>
  <c r="Z17" i="566"/>
  <c r="AC17" i="566" s="1"/>
  <c r="X15" i="566"/>
  <c r="Y15" i="566"/>
  <c r="X14" i="566"/>
  <c r="Y14" i="566"/>
  <c r="X11" i="566"/>
  <c r="Y11" i="566"/>
  <c r="AA16" i="566"/>
  <c r="Z16" i="566"/>
  <c r="Y3" i="566"/>
  <c r="X3" i="566"/>
  <c r="X18" i="566"/>
  <c r="Y18" i="566"/>
  <c r="Y13" i="566"/>
  <c r="X13" i="566"/>
  <c r="X5" i="566"/>
  <c r="Y5" i="566"/>
  <c r="Y9" i="566"/>
  <c r="X9" i="566"/>
  <c r="Y6" i="566"/>
  <c r="X6" i="566"/>
  <c r="X10" i="566"/>
  <c r="Y10" i="566"/>
  <c r="Y4" i="566"/>
  <c r="X4" i="566"/>
  <c r="AA8" i="566"/>
  <c r="Z8" i="566"/>
  <c r="AB17" i="566" l="1"/>
  <c r="AE17" i="566" s="1"/>
  <c r="AA18" i="566"/>
  <c r="Z18" i="566"/>
  <c r="AA5" i="566"/>
  <c r="Z5" i="566"/>
  <c r="AA11" i="566"/>
  <c r="Z11" i="566"/>
  <c r="Z13" i="566"/>
  <c r="AA13" i="566"/>
  <c r="Z3" i="566"/>
  <c r="AA3" i="566"/>
  <c r="AB8" i="566"/>
  <c r="AC8" i="566"/>
  <c r="Z14" i="566"/>
  <c r="AA14" i="566"/>
  <c r="AA6" i="566"/>
  <c r="Z6" i="566"/>
  <c r="AA10" i="566"/>
  <c r="Z10" i="566"/>
  <c r="AA4" i="566"/>
  <c r="Z4" i="566"/>
  <c r="AA9" i="566"/>
  <c r="Z9" i="566"/>
  <c r="AC16" i="566"/>
  <c r="AB16" i="566"/>
  <c r="Z15" i="566"/>
  <c r="AA15" i="566"/>
  <c r="AD17" i="566" l="1"/>
  <c r="AE16" i="566"/>
  <c r="AD16" i="566"/>
  <c r="AE8" i="566"/>
  <c r="AD8" i="566"/>
  <c r="AB4" i="566"/>
  <c r="AC4" i="566"/>
  <c r="AC11" i="566"/>
  <c r="AB11" i="566"/>
  <c r="AC14" i="566"/>
  <c r="AB14" i="566"/>
  <c r="AC9" i="566"/>
  <c r="AB9" i="566"/>
  <c r="AC5" i="566"/>
  <c r="AB5" i="566"/>
  <c r="AC10" i="566"/>
  <c r="AB10" i="566"/>
  <c r="AC15" i="566"/>
  <c r="AB15" i="566"/>
  <c r="AC3" i="566"/>
  <c r="AB3" i="566"/>
  <c r="AB6" i="566"/>
  <c r="AC6" i="566"/>
  <c r="AB18" i="566"/>
  <c r="AC18" i="566"/>
  <c r="AC13" i="566"/>
  <c r="AB13" i="566"/>
  <c r="AD6" i="566" l="1"/>
  <c r="AE6" i="566"/>
  <c r="AD3" i="566"/>
  <c r="AE3" i="566"/>
  <c r="AD18" i="566"/>
  <c r="AE18" i="566"/>
  <c r="AD5" i="566"/>
  <c r="AE5" i="566"/>
  <c r="AE10" i="566"/>
  <c r="AD10" i="566"/>
  <c r="AE4" i="566"/>
  <c r="AD4" i="566"/>
  <c r="AD9" i="566"/>
  <c r="AE9" i="566"/>
  <c r="AE14" i="566"/>
  <c r="AD14" i="566"/>
  <c r="AD13" i="566"/>
  <c r="AE13" i="566"/>
  <c r="AE15" i="566"/>
  <c r="AD15" i="566"/>
  <c r="AD11" i="566"/>
  <c r="AE11" i="56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<sst xmlns="http://schemas.openxmlformats.org/spreadsheetml/2006/main" count="1543" uniqueCount="641">
  <si>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</si>
  <si>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</si>
  <si>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</si>
  <si>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</si>
  <si>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</si>
  <si>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</si>
  <si>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</si>
  <si>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</si>
  <si>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</si>
  <si>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</si>
  <si>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</si>
  <si>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</si>
  <si>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</si>
  <si>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</si>
  <si>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</si>
  <si>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</si>
  <si>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</si>
  <si>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</si>
  <si>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</si>
  <si>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</si>
  <si>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</si>
  <si>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</si>
  <si>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</si>
  <si>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</si>
  <si>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</si>
  <si>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</si>
  <si>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</si>
  <si>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</si>
  <si>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</si>
  <si>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</si>
  <si>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</si>
  <si>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</si>
  <si>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</si>
  <si>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</si>
  <si>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</si>
  <si>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</si>
  <si>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</si>
  <si>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</si>
  <si>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</si>
  <si>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</si>
  <si>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</si>
  <si>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</si>
  <si>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</si>
  <si>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</si>
  <si>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</si>
  <si>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</si>
  <si>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</si>
  <si>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</si>
  <si>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fasce</t>
  </si>
  <si>
    <t>durata</t>
  </si>
  <si>
    <t>id turno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</si>
  <si>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</si>
  <si>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</si>
  <si>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</si>
  <si>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</si>
  <si>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</si>
  <si>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</si>
  <si>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</si>
  <si>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</si>
  <si>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</si>
  <si>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</si>
  <si>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</si>
  <si>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</si>
  <si>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</si>
  <si>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</si>
  <si>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</si>
  <si>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</si>
  <si>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</si>
  <si>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</si>
  <si>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</si>
  <si>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</si>
  <si>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</si>
  <si>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</si>
  <si>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</si>
  <si>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</si>
  <si>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</si>
  <si>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</si>
  <si>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</si>
  <si>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</si>
  <si>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</si>
  <si>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</si>
  <si>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</si>
  <si>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</si>
  <si>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</si>
  <si>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</si>
  <si>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</si>
  <si>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</si>
  <si>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</si>
  <si>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</si>
  <si>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</si>
  <si>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</si>
  <si>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</si>
  <si>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</si>
  <si>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</si>
  <si>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</si>
  <si>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</si>
  <si>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</si>
  <si>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</si>
  <si>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</si>
  <si>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</si>
  <si>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</si>
  <si>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</si>
  <si>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</si>
  <si>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</si>
  <si>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</si>
  <si>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</si>
  <si>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</si>
  <si>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</si>
  <si>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</si>
  <si>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</si>
  <si>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</si>
  <si>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</si>
  <si>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</si>
  <si>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</si>
  <si>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</si>
  <si>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</si>
  <si>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</si>
  <si>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</si>
  <si>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</si>
  <si>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</si>
  <si>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</si>
  <si>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</si>
  <si>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</si>
  <si>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</si>
  <si>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</si>
  <si>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</si>
  <si>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</si>
  <si>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</si>
  <si>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</si>
  <si>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</si>
  <si>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</si>
  <si>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</si>
  <si>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</si>
  <si>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</si>
  <si>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</si>
  <si>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</si>
  <si>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</si>
  <si>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</si>
  <si>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</si>
  <si>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</si>
  <si>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</si>
  <si>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</si>
  <si>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</si>
  <si>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</si>
  <si>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</si>
  <si>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</si>
  <si>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</si>
  <si>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</si>
  <si>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</si>
  <si>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</si>
  <si>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</si>
  <si>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21:00</t>
  </si>
  <si>
    <t>cf2</t>
  </si>
  <si>
    <t>cf3</t>
  </si>
  <si>
    <t>cf6</t>
  </si>
  <si>
    <t>cf13</t>
  </si>
  <si>
    <t>cf14</t>
  </si>
  <si>
    <t>cf21</t>
  </si>
  <si>
    <t>cf23</t>
  </si>
  <si>
    <t>09:00</t>
  </si>
  <si>
    <t>08:30</t>
  </si>
  <si>
    <t>12:30</t>
  </si>
  <si>
    <t>14:30</t>
  </si>
  <si>
    <t>16:30</t>
  </si>
  <si>
    <t>08:45</t>
  </si>
  <si>
    <t>12:45</t>
  </si>
  <si>
    <t>14:45</t>
  </si>
  <si>
    <t>13:00</t>
  </si>
  <si>
    <t>15:00</t>
  </si>
  <si>
    <t>17:00</t>
  </si>
  <si>
    <t>09:15</t>
  </si>
  <si>
    <t>13:15</t>
  </si>
  <si>
    <t>15:15</t>
  </si>
  <si>
    <t>09:30</t>
  </si>
  <si>
    <t>13:30</t>
  </si>
  <si>
    <t>15:30</t>
  </si>
  <si>
    <t>17:30</t>
  </si>
  <si>
    <t>09:45</t>
  </si>
  <si>
    <t>13:45</t>
  </si>
  <si>
    <t>15:45</t>
  </si>
  <si>
    <t>10:00</t>
  </si>
  <si>
    <t>14:00</t>
  </si>
  <si>
    <t>16:00</t>
  </si>
  <si>
    <t>18:00</t>
  </si>
  <si>
    <t>10:15</t>
  </si>
  <si>
    <t>14:15</t>
  </si>
  <si>
    <t>16:15</t>
  </si>
  <si>
    <t>10:30</t>
  </si>
  <si>
    <t>18:30</t>
  </si>
  <si>
    <t>10:45</t>
  </si>
  <si>
    <t>16:45</t>
  </si>
  <si>
    <t>11:00</t>
  </si>
  <si>
    <t>19:00</t>
  </si>
  <si>
    <t>11:15</t>
  </si>
  <si>
    <t>17:15</t>
  </si>
  <si>
    <t>11:30</t>
  </si>
  <si>
    <t>19:30</t>
  </si>
  <si>
    <t>11:45</t>
  </si>
  <si>
    <t>17:45</t>
  </si>
  <si>
    <t>12:00</t>
  </si>
  <si>
    <t>20:00</t>
  </si>
  <si>
    <t>12:15</t>
  </si>
  <si>
    <t>18:15</t>
  </si>
  <si>
    <t>20:30</t>
  </si>
  <si>
    <t>18:45</t>
  </si>
  <si>
    <t>19:45</t>
  </si>
  <si>
    <t>14:40</t>
  </si>
  <si>
    <t>20:40</t>
  </si>
  <si>
    <t>19:15</t>
  </si>
  <si>
    <t>20:15</t>
  </si>
  <si>
    <t>20:45</t>
  </si>
  <si>
    <t>14:20</t>
  </si>
  <si>
    <t>20:20</t>
  </si>
  <si>
    <t>13:20</t>
  </si>
  <si>
    <t>19:20</t>
  </si>
  <si>
    <t>Lun</t>
  </si>
  <si>
    <t>Mar</t>
  </si>
  <si>
    <t>Mer</t>
  </si>
  <si>
    <t>Gio</t>
  </si>
  <si>
    <t>Ven</t>
  </si>
  <si>
    <t>Sab</t>
  </si>
  <si>
    <t>Dom</t>
  </si>
  <si>
    <t>Riposi</t>
  </si>
  <si>
    <t>Ore</t>
  </si>
  <si>
    <t>Nome</t>
  </si>
  <si>
    <t>Inizio fascia</t>
  </si>
  <si>
    <t>Fine fascia</t>
  </si>
  <si>
    <t>entrata</t>
  </si>
  <si>
    <t>uscita</t>
  </si>
  <si>
    <t>id dipendente</t>
  </si>
  <si>
    <t>BETA_SLOT</t>
  </si>
  <si>
    <t>SLOPE_BETA</t>
  </si>
  <si>
    <t>BUCKET_GAIN</t>
  </si>
  <si>
    <t>SHIFT_SLIDE_MIN</t>
  </si>
  <si>
    <t>MAX_TURNS_PER_DAY</t>
  </si>
  <si>
    <t>MIN_BREAK_MIN</t>
  </si>
  <si>
    <t>COVERAGE_FACTOR</t>
  </si>
  <si>
    <t>WEEKEND_REST_PENALTY</t>
  </si>
  <si>
    <t>HOTSET_SIZE</t>
  </si>
  <si>
    <t>CLUSTER_PENALTY</t>
  </si>
  <si>
    <t>STAGGER_BONUS</t>
  </si>
  <si>
    <t>WASTE_PENALTY</t>
  </si>
  <si>
    <t>COOLDOWN_PENALTY</t>
  </si>
  <si>
    <t>SOFTCAP_RATIO</t>
  </si>
  <si>
    <t>DEBUG_LOG</t>
  </si>
  <si>
    <t>BUCKET_PREF_MOR</t>
  </si>
  <si>
    <t>BUCKET_PREF_MID</t>
  </si>
  <si>
    <t>BUCKET_PREF_EVE</t>
  </si>
  <si>
    <t>parametro</t>
  </si>
  <si>
    <t>valore</t>
  </si>
  <si>
    <t>Legenda rapida (cosa toccare e perché)</t>
  </si>
  <si>
    <t>Distribuzione capacità (segue la curva Requisiti)</t>
  </si>
  <si>
    <r>
      <t>BETA_SLOT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(0.3–1.2, def 0.6)</t>
    </r>
  </si>
  <si>
    <t>Aumenta quanto il motore spinge dove i requisiti sono sopra la media. Più alto ⇒ più persone nei picchi, meno nelle valli.</t>
  </si>
  <si>
    <r>
      <t>SLOPE_BETA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(0.2–1.0, def 0.4)</t>
    </r>
  </si>
  <si>
    <r>
      <t xml:space="preserve">Premia i </t>
    </r>
    <r>
      <rPr>
        <b/>
        <sz val="11"/>
        <color theme="1"/>
        <rFont val="Calibri"/>
        <family val="2"/>
        <scheme val="minor"/>
      </rPr>
      <t>ramp-up</t>
    </r>
    <r>
      <rPr>
        <sz val="11"/>
        <color theme="1"/>
        <rFont val="Calibri"/>
        <family val="2"/>
        <scheme val="minor"/>
      </rPr>
      <t xml:space="preserve"> (aperture/salite). Più alto ⇒ più gente </t>
    </r>
    <r>
      <rPr>
        <b/>
        <sz val="11"/>
        <color theme="1"/>
        <rFont val="Calibri"/>
        <family val="2"/>
        <scheme val="minor"/>
      </rPr>
      <t>in apertura</t>
    </r>
    <r>
      <rPr>
        <sz val="11"/>
        <color theme="1"/>
        <rFont val="Calibri"/>
        <family val="2"/>
        <scheme val="minor"/>
      </rPr>
      <t>.</t>
    </r>
  </si>
  <si>
    <r>
      <t>BUCKET_GAIN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(20–60, def 35)</t>
    </r>
  </si>
  <si>
    <t>Peso del bilanciamento tra fasce MOR/MID/EVE. Più alto ⇒ rispetta di più la “quota” per fascia.</t>
  </si>
  <si>
    <r>
      <t xml:space="preserve">(se hai attivato i pesi di daypart) </t>
    </r>
    <r>
      <rPr>
        <sz val="10"/>
        <color theme="1"/>
        <rFont val="Arial Unicode MS"/>
      </rPr>
      <t>BUCKET_PREF_MOR / MID / EVE</t>
    </r>
  </si>
  <si>
    <t>es. MOR 1.25, MID 0.85, EVE 1.05 per spingere mattina e scaricare il centro.</t>
  </si>
  <si>
    <t>Turni &amp; start</t>
  </si>
  <si>
    <r>
      <t>SHIFT_SLIDE_MIN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(15/30/60, def 15)</t>
    </r>
  </si>
  <si>
    <r>
      <t xml:space="preserve">Granularità di scorrimento dei turni virtuali. 15 = abilita start a </t>
    </r>
    <r>
      <rPr>
        <b/>
        <sz val="11"/>
        <color theme="1"/>
        <rFont val="Calibri"/>
        <family val="2"/>
        <scheme val="minor"/>
      </rPr>
      <t>:15/:30/:45</t>
    </r>
    <r>
      <rPr>
        <sz val="11"/>
        <color theme="1"/>
        <rFont val="Calibri"/>
        <family val="2"/>
        <scheme val="minor"/>
      </rPr>
      <t>.</t>
    </r>
  </si>
  <si>
    <r>
      <t>WINDOW_TOL_MIN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(0–30, def 15)</t>
    </r>
  </si>
  <si>
    <t>Tolleranza sui vincoli finestra lavorativa. Più alto = leggermente più elastico sugli orari.</t>
  </si>
  <si>
    <t>Riposi, pause, ore</t>
  </si>
  <si>
    <r>
      <t>MAX_TURNS_PER_DAY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(1–3, def 2)</t>
    </r>
  </si>
  <si>
    <t>Quanti turni max per risorsa al giorno.</t>
  </si>
  <si>
    <r>
      <t>MIN_BREAK_MIN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(15–60, def 30)</t>
    </r>
  </si>
  <si>
    <t>Pausa minima tra due turni della stessa persona.</t>
  </si>
  <si>
    <r>
      <t>SOFTCAP_RATIO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(0.6–1.0, def 0.8)</t>
    </r>
  </si>
  <si>
    <t>Oltre questa % delle ore giornaliere, il gain scende (evita concentrare troppe ore sulle stesse persone).</t>
  </si>
  <si>
    <r>
      <t>COVERAGE_FACTOR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(0.8–1.2, def 1.0)</t>
    </r>
  </si>
  <si>
    <r>
      <t xml:space="preserve">Quante persone </t>
    </r>
    <r>
      <rPr>
        <b/>
        <sz val="11"/>
        <color theme="1"/>
        <rFont val="Calibri"/>
        <family val="2"/>
        <scheme val="minor"/>
      </rPr>
      <t>minime</t>
    </r>
    <r>
      <rPr>
        <sz val="11"/>
        <color theme="1"/>
        <rFont val="Calibri"/>
        <family val="2"/>
        <scheme val="minor"/>
      </rPr>
      <t xml:space="preserve"> attive nei picchi (usato per limitare i riposi). Più alto ⇒ meno riposi nei giorni “caldi”.</t>
    </r>
  </si>
  <si>
    <r>
      <t>WEEKEND_REST_PENALTY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(800–2000, def 1200)</t>
    </r>
  </si>
  <si>
    <t>Penalità a dare riposo nel weekend (aumentala se vuoi più presenza Sab/Dom).</t>
  </si>
  <si>
    <t>Stile assegnazioni</t>
  </si>
  <si>
    <r>
      <t>CLUSTER_PENALTY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(3–10, def 6)</t>
    </r>
  </si>
  <si>
    <t>Evita troppi turni con lo stesso start.</t>
  </si>
  <si>
    <r>
      <t>STAGGER_BONUS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(2–8, def 4)</t>
    </r>
  </si>
  <si>
    <r>
      <t xml:space="preserve">Favorisce la </t>
    </r>
    <r>
      <rPr>
        <b/>
        <sz val="11"/>
        <color theme="1"/>
        <rFont val="Calibri"/>
        <family val="2"/>
        <scheme val="minor"/>
      </rPr>
      <t>sfalsatura</t>
    </r>
    <r>
      <rPr>
        <sz val="11"/>
        <color theme="1"/>
        <rFont val="Calibri"/>
        <family val="2"/>
        <scheme val="minor"/>
      </rPr>
      <t xml:space="preserve"> dei start (:00/:15/:30/:45).</t>
    </r>
  </si>
  <si>
    <r>
      <t>WASTE_PENALTY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(5–12, def 8)</t>
    </r>
  </si>
  <si>
    <t>Penalizza assegnazioni dove non c’è deficit (riduce over-staffing).</t>
  </si>
  <si>
    <r>
      <t>COOLDOWN_PENALTY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(2–6, def 3)</t>
    </r>
  </si>
  <si>
    <r>
      <t xml:space="preserve">Sconsiglia scegliere due start consecutivi nella </t>
    </r>
    <r>
      <rPr>
        <b/>
        <sz val="11"/>
        <color theme="1"/>
        <rFont val="Calibri"/>
        <family val="2"/>
        <scheme val="minor"/>
      </rPr>
      <t>stessa ora</t>
    </r>
    <r>
      <rPr>
        <sz val="11"/>
        <color theme="1"/>
        <rFont val="Calibri"/>
        <family val="2"/>
        <scheme val="minor"/>
      </rPr>
      <t>.</t>
    </r>
  </si>
  <si>
    <t>Performance (senza intaccare il risultato)</t>
  </si>
  <si>
    <r>
      <t>HOTSET_SIZE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(4–8, def 6)</t>
    </r>
  </si>
  <si>
    <t>Quanti “slot caldi” guardare a ogni iterazione. Più basso ⇒ più veloce.</t>
  </si>
  <si>
    <r>
      <t>DEBUG_LOG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(True/False, def False)</t>
    </r>
  </si>
  <si>
    <r>
      <t xml:space="preserve">Spegni i </t>
    </r>
    <r>
      <rPr>
        <sz val="10"/>
        <color theme="1"/>
        <rFont val="Arial Unicode MS"/>
      </rPr>
      <t>Debug.Print</t>
    </r>
    <r>
      <rPr>
        <sz val="11"/>
        <color theme="1"/>
        <rFont val="Calibri"/>
        <family val="2"/>
        <scheme val="minor"/>
      </rPr>
      <t xml:space="preserve"> durante il run.</t>
    </r>
  </si>
  <si>
    <t>MINUTE_BIAS_00</t>
  </si>
  <si>
    <t>MINUTE_BIAS_15</t>
  </si>
  <si>
    <t>MINUTE_BIAS_30</t>
  </si>
  <si>
    <t>MINUTE_BIAS_45</t>
  </si>
  <si>
    <t>HOUR_SAT_PENALTY</t>
  </si>
  <si>
    <t>Parametri (Config)</t>
  </si>
  <si>
    <r>
      <t>BETA_SLOT</t>
    </r>
    <r>
      <rPr>
        <sz val="11"/>
        <color theme="1"/>
        <rFont val="Calibri"/>
        <family val="2"/>
        <scheme val="minor"/>
      </rPr>
      <t xml:space="preserve"> (≈0.2–1.2)</t>
    </r>
  </si>
  <si>
    <t>Aumenta il peso degli slot con domanda sopra media. ↑ = più aggressivo sui picchi.</t>
  </si>
  <si>
    <r>
      <t>SLOPE_BETA</t>
    </r>
    <r>
      <rPr>
        <sz val="11"/>
        <color theme="1"/>
        <rFont val="Calibri"/>
        <family val="2"/>
        <scheme val="minor"/>
      </rPr>
      <t xml:space="preserve"> (0–1.5)</t>
    </r>
  </si>
  <si>
    <r>
      <t xml:space="preserve">Premia gli inizi che precedono </t>
    </r>
    <r>
      <rPr>
        <b/>
        <sz val="11"/>
        <color theme="1"/>
        <rFont val="Calibri"/>
        <family val="2"/>
        <scheme val="minor"/>
      </rPr>
      <t>rampe in salita</t>
    </r>
    <r>
      <rPr>
        <sz val="11"/>
        <color theme="1"/>
        <rFont val="Calibri"/>
        <family val="2"/>
        <scheme val="minor"/>
      </rPr>
      <t xml:space="preserve"> della domanda. ↑ = più “preventivo”.</t>
    </r>
  </si>
  <si>
    <r>
      <t>BUCKET_GAIN</t>
    </r>
    <r>
      <rPr>
        <sz val="11"/>
        <color theme="1"/>
        <rFont val="Calibri"/>
        <family val="2"/>
        <scheme val="minor"/>
      </rPr>
      <t xml:space="preserve"> (20–300)</t>
    </r>
  </si>
  <si>
    <t>Ricompensa l’assegnazione nel bucket meno coperto (MOR/MID/EVE). ↑ = bilanciamento più forte.</t>
  </si>
  <si>
    <r>
      <t>SHIFT_SLIDE_MIN</t>
    </r>
    <r>
      <rPr>
        <sz val="11"/>
        <color theme="1"/>
        <rFont val="Calibri"/>
        <family val="2"/>
        <scheme val="minor"/>
      </rPr>
      <t xml:space="preserve"> (5–30 min)</t>
    </r>
  </si>
  <si>
    <t>Grana delle partenze generate dai turni base. ↓ = più varietà (ma più lento).</t>
  </si>
  <si>
    <r>
      <t>HOTSET_SIZE</t>
    </r>
    <r>
      <rPr>
        <sz val="11"/>
        <color theme="1"/>
        <rFont val="Calibri"/>
        <family val="2"/>
        <scheme val="minor"/>
      </rPr>
      <t xml:space="preserve"> (6–24)</t>
    </r>
  </si>
  <si>
    <t>Quanti slot “caldi” guardare. ↑ = più concentrato sui deficit maggiori.</t>
  </si>
  <si>
    <r>
      <t>MAX_TURNS_PER_DAY</t>
    </r>
    <r>
      <rPr>
        <sz val="11"/>
        <color theme="1"/>
        <rFont val="Calibri"/>
        <family val="2"/>
        <scheme val="minor"/>
      </rPr>
      <t xml:space="preserve"> (1–3)</t>
    </r>
  </si>
  <si>
    <t>Limite turni per risorsa al giorno.</t>
  </si>
  <si>
    <r>
      <t>MIN_BREAK_MIN</t>
    </r>
    <r>
      <rPr>
        <sz val="11"/>
        <color theme="1"/>
        <rFont val="Calibri"/>
        <family val="2"/>
        <scheme val="minor"/>
      </rPr>
      <t xml:space="preserve"> (15–120)</t>
    </r>
  </si>
  <si>
    <t>Pausa minima tra due turni della stessa risorsa.</t>
  </si>
  <si>
    <r>
      <t>COVERAGE_FACTOR</t>
    </r>
    <r>
      <rPr>
        <sz val="11"/>
        <color theme="1"/>
        <rFont val="Calibri"/>
        <family val="2"/>
        <scheme val="minor"/>
      </rPr>
      <t xml:space="preserve"> (0.8–1.2)</t>
    </r>
  </si>
  <si>
    <t>Fattore con cui stimiamo le risorse minime “attive” per calcolare i riposi. ↑ = meno riposi nei giorni caldi.</t>
  </si>
  <si>
    <r>
      <t>WEEKEND_REST_PENALTY</t>
    </r>
    <r>
      <rPr>
        <sz val="11"/>
        <color theme="1"/>
        <rFont val="Calibri"/>
        <family val="2"/>
        <scheme val="minor"/>
      </rPr>
      <t xml:space="preserve"> (0–2000)</t>
    </r>
  </si>
  <si>
    <t>Penalità a dare riposo Sab/Dom. ↑ = meno riposi nel weekend.</t>
  </si>
  <si>
    <r>
      <t>CLUSTER_PENALTY</t>
    </r>
    <r>
      <rPr>
        <sz val="11"/>
        <color theme="1"/>
        <rFont val="Calibri"/>
        <family val="2"/>
        <scheme val="minor"/>
      </rPr>
      <t xml:space="preserve"> (0–20)</t>
    </r>
  </si>
  <si>
    <r>
      <t xml:space="preserve">Penalità se troppi inizi </t>
    </r>
    <r>
      <rPr>
        <b/>
        <sz val="11"/>
        <color theme="1"/>
        <rFont val="Calibri"/>
        <family val="2"/>
        <scheme val="minor"/>
      </rPr>
      <t>nello stesso minuto</t>
    </r>
    <r>
      <rPr>
        <sz val="11"/>
        <color theme="1"/>
        <rFont val="Calibri"/>
        <family val="2"/>
        <scheme val="minor"/>
      </rPr>
      <t>. ↑ = più dispersione.</t>
    </r>
  </si>
  <si>
    <r>
      <t>STAGGER_BONUS</t>
    </r>
    <r>
      <rPr>
        <sz val="11"/>
        <color theme="1"/>
        <rFont val="Calibri"/>
        <family val="2"/>
        <scheme val="minor"/>
      </rPr>
      <t xml:space="preserve"> (0–20)</t>
    </r>
  </si>
  <si>
    <t>Bonus a scegliere il minuto meno usato dell’ora (00/15/30/45). ↑ = più scaglionamento.</t>
  </si>
  <si>
    <r>
      <t>WASTE_PENALTY</t>
    </r>
    <r>
      <rPr>
        <sz val="11"/>
        <color theme="1"/>
        <rFont val="Calibri"/>
        <family val="2"/>
        <scheme val="minor"/>
      </rPr>
      <t xml:space="preserve"> (0–20)</t>
    </r>
  </si>
  <si>
    <t>Penalità a coprire slot già saturi. ↑ = meno over-coverage.</t>
  </si>
  <si>
    <r>
      <t>COOLDOWN_PENALTY</t>
    </r>
    <r>
      <rPr>
        <sz val="11"/>
        <color theme="1"/>
        <rFont val="Calibri"/>
        <family val="2"/>
        <scheme val="minor"/>
      </rPr>
      <t xml:space="preserve"> (0–20)</t>
    </r>
  </si>
  <si>
    <r>
      <t xml:space="preserve">Penalità se si continua a scegliere </t>
    </r>
    <r>
      <rPr>
        <b/>
        <sz val="11"/>
        <color theme="1"/>
        <rFont val="Calibri"/>
        <family val="2"/>
        <scheme val="minor"/>
      </rPr>
      <t>la stessa ora</t>
    </r>
    <r>
      <rPr>
        <sz val="11"/>
        <color theme="1"/>
        <rFont val="Calibri"/>
        <family val="2"/>
        <scheme val="minor"/>
      </rPr>
      <t xml:space="preserve"> consecutiva. ↑ = più varietà tra ore.</t>
    </r>
  </si>
  <si>
    <r>
      <t>SOFTCAP_RATIO</t>
    </r>
    <r>
      <rPr>
        <sz val="11"/>
        <color theme="1"/>
        <rFont val="Calibri"/>
        <family val="2"/>
        <scheme val="minor"/>
      </rPr>
      <t xml:space="preserve"> (0.5–0.95)</t>
    </r>
  </si>
  <si>
    <t>Soglia “soft” delle ore/giorno oltre cui penalizzare la stessa risorsa. ↓ = più distribuzione tra persone.</t>
  </si>
  <si>
    <r>
      <t>BUCKET_PREF_MOR / MID / EVE</t>
    </r>
    <r>
      <rPr>
        <sz val="11"/>
        <color theme="1"/>
        <rFont val="Calibri"/>
        <family val="2"/>
        <scheme val="minor"/>
      </rPr>
      <t xml:space="preserve"> (0.1–2.0)</t>
    </r>
  </si>
  <si>
    <t>Pesi per preferire mattina / metà / sera.</t>
  </si>
  <si>
    <r>
      <t xml:space="preserve">Esempio: per ottenere più ingressi 9:30–10:30 alza </t>
    </r>
    <r>
      <rPr>
        <b/>
        <sz val="11"/>
        <color theme="1"/>
        <rFont val="Calibri"/>
        <family val="2"/>
        <scheme val="minor"/>
      </rPr>
      <t>MID</t>
    </r>
    <r>
      <rPr>
        <sz val="11"/>
        <color theme="1"/>
        <rFont val="Calibri"/>
        <family val="2"/>
        <scheme val="minor"/>
      </rPr>
      <t xml:space="preserve"> verso 0.8–1.0 (se ora è 0.15 è troppo penalizzato).</t>
    </r>
  </si>
  <si>
    <r>
      <t>MINUTE_BIAS_00 / 15 / 30 / 45</t>
    </r>
    <r>
      <rPr>
        <sz val="11"/>
        <color theme="1"/>
        <rFont val="Calibri"/>
        <family val="2"/>
        <scheme val="minor"/>
      </rPr>
      <t xml:space="preserve"> (-5…15)</t>
    </r>
  </si>
  <si>
    <t>Bias additivi sui minuti. ↑ su 15/30/45 = più partenze a :15/:30/:45.</t>
  </si>
  <si>
    <t>(Valori negativi scoraggiano quel minuto.)</t>
  </si>
  <si>
    <r>
      <t>HOUR_SAT_PENALTY</t>
    </r>
    <r>
      <rPr>
        <sz val="11"/>
        <color theme="1"/>
        <rFont val="Calibri"/>
        <family val="2"/>
        <scheme val="minor"/>
      </rPr>
      <t xml:space="preserve"> (0–20)</t>
    </r>
  </si>
  <si>
    <r>
      <t xml:space="preserve">Penalità per </t>
    </r>
    <r>
      <rPr>
        <b/>
        <sz val="11"/>
        <color theme="1"/>
        <rFont val="Calibri"/>
        <family val="2"/>
        <scheme val="minor"/>
      </rPr>
      <t>ogni ulteriore</t>
    </r>
    <r>
      <rPr>
        <sz val="11"/>
        <color theme="1"/>
        <rFont val="Calibri"/>
        <family val="2"/>
        <scheme val="minor"/>
      </rPr>
      <t xml:space="preserve"> inizio nella stessa </t>
    </r>
    <r>
      <rPr>
        <b/>
        <sz val="11"/>
        <color theme="1"/>
        <rFont val="Calibri"/>
        <family val="2"/>
        <scheme val="minor"/>
      </rPr>
      <t>ora</t>
    </r>
    <r>
      <rPr>
        <sz val="11"/>
        <color theme="1"/>
        <rFont val="Calibri"/>
        <family val="2"/>
        <scheme val="minor"/>
      </rPr>
      <t xml:space="preserve"> oltre il primo. ↑ = meno “ammassi” alle 09:00.</t>
    </r>
  </si>
  <si>
    <r>
      <t>DEBUG_LOG</t>
    </r>
    <r>
      <rPr>
        <sz val="11"/>
        <color theme="1"/>
        <rFont val="Calibri"/>
        <family val="2"/>
        <scheme val="minor"/>
      </rPr>
      <t xml:space="preserve"> (TRUE/FALSE)</t>
    </r>
  </si>
  <si>
    <t>Abilita log di diagnostica in Immediate Window.</t>
  </si>
  <si>
    <t>Parametri fissi (non su Config, ma presenti nel codice)</t>
  </si>
  <si>
    <r>
      <t>ALPHA_DEFICIT</t>
    </r>
    <r>
      <rPr>
        <sz val="11"/>
        <color theme="1"/>
        <rFont val="Calibri"/>
        <family val="2"/>
        <scheme val="minor"/>
      </rPr>
      <t xml:space="preserve"> (1.25) intensità premio in slot in deficit.</t>
    </r>
  </si>
  <si>
    <r>
      <t>FAIR_ALPHA</t>
    </r>
    <r>
      <rPr>
        <sz val="11"/>
        <color theme="1"/>
        <rFont val="Calibri"/>
        <family val="2"/>
        <scheme val="minor"/>
      </rPr>
      <t xml:space="preserve"> (0.25) riequilibrio ore totali tra persone.</t>
    </r>
  </si>
  <si>
    <r>
      <t>MIN_DEFICIT_SLOTS</t>
    </r>
    <r>
      <rPr>
        <sz val="11"/>
        <color theme="1"/>
        <rFont val="Calibri"/>
        <family val="2"/>
        <scheme val="minor"/>
      </rPr>
      <t xml:space="preserve"> (1) copertura minima perché un turno “conti”.</t>
    </r>
  </si>
  <si>
    <r>
      <t>HOT_RADIUS_SLOTS</t>
    </r>
    <r>
      <rPr>
        <sz val="11"/>
        <color theme="1"/>
        <rFont val="Calibri"/>
        <family val="2"/>
        <scheme val="minor"/>
      </rPr>
      <t xml:space="preserve"> (1) raggio attorno agli hot slot.</t>
    </r>
  </si>
  <si>
    <r>
      <t>WINDOW_TOL_MIN</t>
    </r>
    <r>
      <rPr>
        <sz val="11"/>
        <color theme="1"/>
        <rFont val="Calibri"/>
        <family val="2"/>
        <scheme val="minor"/>
      </rPr>
      <t xml:space="preserve"> (15) tolleranza sulla finestra risorsa.</t>
    </r>
  </si>
  <si>
    <t>Come leggere la colonna “Note”</t>
  </si>
  <si>
    <r>
      <t xml:space="preserve">Formato: </t>
    </r>
    <r>
      <rPr>
        <b/>
        <sz val="10"/>
        <color theme="1"/>
        <rFont val="Arial Unicode MS"/>
      </rPr>
      <t>X% in deficit (a/b)</t>
    </r>
  </si>
  <si>
    <r>
      <t>b</t>
    </r>
    <r>
      <rPr>
        <sz val="11"/>
        <color theme="1"/>
        <rFont val="Calibri"/>
        <family val="2"/>
        <scheme val="minor"/>
      </rPr>
      <t xml:space="preserve"> = n. di slot del turno dove la domanda è &gt; 0.</t>
    </r>
  </si>
  <si>
    <r>
      <t>a</t>
    </r>
    <r>
      <rPr>
        <sz val="11"/>
        <color theme="1"/>
        <rFont val="Calibri"/>
        <family val="2"/>
        <scheme val="minor"/>
      </rPr>
      <t xml:space="preserve"> = di quei b, quanti erano </t>
    </r>
    <r>
      <rPr>
        <b/>
        <sz val="11"/>
        <color theme="1"/>
        <rFont val="Calibri"/>
        <family val="2"/>
        <scheme val="minor"/>
      </rPr>
      <t>ancora scoperti</t>
    </r>
    <r>
      <rPr>
        <sz val="11"/>
        <color theme="1"/>
        <rFont val="Calibri"/>
        <family val="2"/>
        <scheme val="minor"/>
      </rPr>
      <t xml:space="preserve"> al momento dell’assegnazione.</t>
    </r>
  </si>
  <si>
    <r>
      <t>X% = a/b</t>
    </r>
    <r>
      <rPr>
        <sz val="11"/>
        <color theme="1"/>
        <rFont val="Calibri"/>
        <family val="2"/>
        <scheme val="minor"/>
      </rPr>
      <t xml:space="preserve"> → quota del turno che riduce davvero il deficit.</t>
    </r>
  </si>
  <si>
    <t>Colori:</t>
  </si>
  <si>
    <r>
      <t>Verde</t>
    </r>
    <r>
      <rPr>
        <sz val="11"/>
        <color theme="1"/>
        <rFont val="Calibri"/>
        <family val="2"/>
        <scheme val="minor"/>
      </rPr>
      <t>: 100% → tutto il turno cade in deficit (massima utilità).</t>
    </r>
  </si>
  <si>
    <r>
      <t>Arancione</t>
    </r>
    <r>
      <rPr>
        <sz val="11"/>
        <color theme="1"/>
        <rFont val="Calibri"/>
        <family val="2"/>
        <scheme val="minor"/>
      </rPr>
      <t>: 75–99% → molto buono, piccola coda in surplus.</t>
    </r>
  </si>
  <si>
    <r>
      <t>Rosso</t>
    </r>
    <r>
      <rPr>
        <sz val="11"/>
        <color theme="1"/>
        <rFont val="Calibri"/>
        <family val="2"/>
        <scheme val="minor"/>
      </rPr>
      <t>: &lt;75% → utile ma con tratti coperti; da rivedere se ricorrente.</t>
    </r>
  </si>
  <si>
    <t>Dritte rapide (per la varietà mattina)</t>
  </si>
  <si>
    <r>
      <t xml:space="preserve">Aumenta </t>
    </r>
    <r>
      <rPr>
        <b/>
        <sz val="11"/>
        <color theme="1"/>
        <rFont val="Calibri"/>
        <family val="2"/>
        <scheme val="minor"/>
      </rPr>
      <t>BUCKET_PREF_MID</t>
    </r>
    <r>
      <rPr>
        <sz val="11"/>
        <color theme="1"/>
        <rFont val="Calibri"/>
        <family val="2"/>
        <scheme val="minor"/>
      </rPr>
      <t xml:space="preserve"> a ~0.8–1.0.</t>
    </r>
  </si>
  <si>
    <r>
      <t xml:space="preserve">Imposta </t>
    </r>
    <r>
      <rPr>
        <b/>
        <sz val="11"/>
        <color theme="1"/>
        <rFont val="Calibri"/>
        <family val="2"/>
        <scheme val="minor"/>
      </rPr>
      <t>MINUTE_BIAS_15/30/45</t>
    </r>
    <r>
      <rPr>
        <sz val="11"/>
        <color theme="1"/>
        <rFont val="Calibri"/>
        <family val="2"/>
        <scheme val="minor"/>
      </rPr>
      <t xml:space="preserve"> a 10/8/6 (esempio), </t>
    </r>
    <r>
      <rPr>
        <b/>
        <sz val="11"/>
        <color theme="1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 xml:space="preserve"> a 0.</t>
    </r>
  </si>
  <si>
    <r>
      <t xml:space="preserve">Porta </t>
    </r>
    <r>
      <rPr>
        <b/>
        <sz val="11"/>
        <color theme="1"/>
        <rFont val="Calibri"/>
        <family val="2"/>
        <scheme val="minor"/>
      </rPr>
      <t>HOUR_SAT_PENALTY</t>
    </r>
    <r>
      <rPr>
        <sz val="11"/>
        <color theme="1"/>
        <rFont val="Calibri"/>
        <family val="2"/>
        <scheme val="minor"/>
      </rPr>
      <t xml:space="preserve"> a 10–14 per non mettere tutti alle 09:00.</t>
    </r>
  </si>
  <si>
    <t>MIN_ASSIGN_MIN</t>
  </si>
  <si>
    <t>MIN_ASSIGN_RATIO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</si>
  <si>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</si>
  <si>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</si>
  <si>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</si>
  <si>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</si>
  <si>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</si>
  <si>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</si>
  <si>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</si>
  <si>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</si>
  <si>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</si>
  <si>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</si>
  <si>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</si>
  <si>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</si>
  <si>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</si>
  <si>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</si>
  <si>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</si>
  <si>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</si>
  <si>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</si>
  <si>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</si>
  <si>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</si>
  <si>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</si>
  <si>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</si>
  <si>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</si>
  <si>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</si>
  <si>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</si>
  <si>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</si>
  <si>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</si>
  <si>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</si>
  <si>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</si>
  <si>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</si>
  <si>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</si>
  <si>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</si>
  <si>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</si>
  <si>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</si>
  <si>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</si>
  <si>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</si>
  <si>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</si>
  <si>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</si>
  <si>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</si>
  <si>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</si>
  <si>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</si>
  <si>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</si>
  <si>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</si>
  <si>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</si>
  <si>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</si>
  <si>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</si>
  <si>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</si>
  <si>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</si>
  <si>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MAX_STARTS_PER_HOUR</t>
  </si>
  <si>
    <t>MID_SHARE_CAP</t>
  </si>
  <si>
    <t>Lunedì</t>
  </si>
  <si>
    <t>Martedì</t>
  </si>
  <si>
    <t>Mercoledì</t>
  </si>
  <si>
    <t>Giovedì</t>
  </si>
  <si>
    <t>Venerdì</t>
  </si>
  <si>
    <t>Sabato</t>
  </si>
  <si>
    <t>domenica</t>
  </si>
  <si>
    <t>Condello Danilo</t>
  </si>
  <si>
    <t>D'alessandro Giovanni</t>
  </si>
  <si>
    <t>Lisciandrello Ignazio</t>
  </si>
  <si>
    <t>Arnone Carmelina</t>
  </si>
  <si>
    <t>Busalacchi Fortunata</t>
  </si>
  <si>
    <t>Campo Cristina</t>
  </si>
  <si>
    <t>Campo Maria</t>
  </si>
  <si>
    <t>Di Cecco Beatrice</t>
  </si>
  <si>
    <t>Donato Biagia</t>
  </si>
  <si>
    <t>Ganci Elvira</t>
  </si>
  <si>
    <t>Maggiore Vincenza</t>
  </si>
  <si>
    <t>Mineo Graziella</t>
  </si>
  <si>
    <t>Rossi Carlo</t>
  </si>
  <si>
    <t>Russo Grazia</t>
  </si>
  <si>
    <t>Trapani Silvia</t>
  </si>
  <si>
    <t>Vaghetto Marianna</t>
  </si>
  <si>
    <t>Velardi Giulia</t>
  </si>
  <si>
    <t>DI Liddo Sabrina</t>
  </si>
  <si>
    <t>sabato</t>
  </si>
  <si>
    <t>nro di volte in sede</t>
  </si>
  <si>
    <t>Bonura Letizia</t>
  </si>
  <si>
    <t>Lo Iacono Gaspare</t>
  </si>
  <si>
    <t>Monteleone Giuseppe</t>
  </si>
  <si>
    <t>Navarra Annunziata</t>
  </si>
  <si>
    <t>cf30</t>
  </si>
  <si>
    <t>OT lun</t>
  </si>
  <si>
    <t>OT mar</t>
  </si>
  <si>
    <t>OT mer</t>
  </si>
  <si>
    <t>OT gio</t>
  </si>
  <si>
    <t>OT ven</t>
  </si>
  <si>
    <t>OT sab</t>
  </si>
  <si>
    <t>OT dom</t>
  </si>
  <si>
    <t>OT Spezz</t>
  </si>
  <si>
    <t>Riposo weekend suggerito</t>
  </si>
  <si>
    <t>Sab lavorati (8w)</t>
  </si>
  <si>
    <t>Dom lavorate (8w)</t>
  </si>
  <si>
    <t>Suggerimento lavoro WE</t>
  </si>
  <si>
    <t>% Sab lavorati</t>
  </si>
  <si>
    <t>% Dom lavorate</t>
  </si>
  <si>
    <t>% Mattine</t>
  </si>
  <si>
    <t>% Pomeriggi</t>
  </si>
  <si>
    <t>% Sere</t>
  </si>
  <si>
    <t>WE doppi (Sab+Dom)</t>
  </si>
  <si>
    <t>% WE doppi (Sab+Dom)</t>
  </si>
  <si>
    <t>Giorno</t>
  </si>
  <si>
    <t>OvercapPercent</t>
  </si>
  <si>
    <t>OvercapPenalty</t>
  </si>
  <si>
    <t>Elia Stefano</t>
  </si>
  <si>
    <t>Sampino Salvatore</t>
  </si>
  <si>
    <t>Siragusa Teresa</t>
  </si>
  <si>
    <t>cf34</t>
  </si>
  <si>
    <t>Seq Sab 0/1 (old?recent)</t>
  </si>
  <si>
    <t>Seq Dom 0/1 (old?recent)</t>
  </si>
  <si>
    <t>Sab lavorativi nel mese (ult. week)</t>
  </si>
  <si>
    <t>Dom lavorative nel mese (ult. week)</t>
  </si>
  <si>
    <t>combinazione</t>
  </si>
  <si>
    <t>fuori fascia</t>
  </si>
  <si>
    <t>4-4-4-4-4</t>
  </si>
  <si>
    <t>&gt;7 consecutivi (ult. 2w?)</t>
  </si>
  <si>
    <t>Riposo da pianificare (prossima week)</t>
  </si>
  <si>
    <t>4,5-4,5-4,5-4,5-4,5</t>
  </si>
  <si>
    <t>5-4-4-4-4</t>
  </si>
  <si>
    <t>Inzio spezzato</t>
  </si>
  <si>
    <t>Fine spezzato</t>
  </si>
  <si>
    <t>a101</t>
  </si>
  <si>
    <t>a102</t>
  </si>
  <si>
    <t>a103</t>
  </si>
  <si>
    <t>a104</t>
  </si>
  <si>
    <t>skill</t>
  </si>
  <si>
    <t>Barresi Vincenza</t>
  </si>
  <si>
    <t>Ferro Antonella</t>
  </si>
  <si>
    <t>Fradella Piermarco</t>
  </si>
  <si>
    <t>Lo Nardo Antonino</t>
  </si>
  <si>
    <t>Mazzara Antonia</t>
  </si>
  <si>
    <t>Amato Stefania</t>
  </si>
  <si>
    <t>Aronica Martina</t>
  </si>
  <si>
    <t>Brusca Loredana</t>
  </si>
  <si>
    <t>Burgio Maria</t>
  </si>
  <si>
    <t>Candia Loredana</t>
  </si>
  <si>
    <t>Caporrimo Maria</t>
  </si>
  <si>
    <t>Ciaramitaro Giuseppa</t>
  </si>
  <si>
    <t>Cipriano Giovanna</t>
  </si>
  <si>
    <t>Correnti Chiara</t>
  </si>
  <si>
    <t>Culcasi Rosalba</t>
  </si>
  <si>
    <t>Di Miceli Stefania</t>
  </si>
  <si>
    <t>Esposito Silvana</t>
  </si>
  <si>
    <t>Giacopelli Giulia</t>
  </si>
  <si>
    <t>Gibilaro Letizia</t>
  </si>
  <si>
    <t>La Versa Loredana</t>
  </si>
  <si>
    <t>Liberto Maria</t>
  </si>
  <si>
    <t>Lo Buono Claudia</t>
  </si>
  <si>
    <t>Lo Giudice Chiara</t>
  </si>
  <si>
    <t>Lo Presti Florinda</t>
  </si>
  <si>
    <t>Madonia Concetta</t>
  </si>
  <si>
    <t>Marasa Davide</t>
  </si>
  <si>
    <t>Modica Adele</t>
  </si>
  <si>
    <t>Ortani Caterina</t>
  </si>
  <si>
    <t>Perriera Fabio</t>
  </si>
  <si>
    <t>Ravena Alessia</t>
  </si>
  <si>
    <t>Romano Patrizia</t>
  </si>
  <si>
    <t>Schillaci angela</t>
  </si>
  <si>
    <t>Sciortino Patrizia</t>
  </si>
  <si>
    <t>Vaglica Debora</t>
  </si>
  <si>
    <t>Zisa Rosa</t>
  </si>
  <si>
    <t>vicari marco</t>
  </si>
  <si>
    <t>Ianniello Sabrina</t>
  </si>
  <si>
    <t>cf38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</si>
  <si>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</si>
  <si>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</si>
  <si>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</si>
  <si>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</si>
  <si>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</si>
  <si>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</si>
  <si>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</si>
  <si>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</si>
  <si>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</si>
  <si>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cf49</t>
  </si>
  <si>
    <t>cf50</t>
  </si>
  <si>
    <t>cf51</t>
  </si>
  <si>
    <t>cf52</t>
  </si>
  <si>
    <t>cf53</t>
  </si>
  <si>
    <t>cf54</t>
  </si>
  <si>
    <t>cf56</t>
  </si>
  <si>
    <t>cf57</t>
  </si>
  <si>
    <t>cf58</t>
  </si>
  <si>
    <t>cf59</t>
  </si>
  <si>
    <t>cf60</t>
  </si>
  <si>
    <t>cf61</t>
  </si>
  <si>
    <t>cf64</t>
  </si>
  <si>
    <t>cf65</t>
  </si>
  <si>
    <t>cf66</t>
  </si>
  <si>
    <t>cf67</t>
  </si>
  <si>
    <t>cf68</t>
  </si>
  <si>
    <t>cf69</t>
  </si>
  <si>
    <t>cf70</t>
  </si>
  <si>
    <t>cf71</t>
  </si>
  <si>
    <t>cf72</t>
  </si>
  <si>
    <t>cf73</t>
  </si>
  <si>
    <t>cf74</t>
  </si>
  <si>
    <t>cf75</t>
  </si>
  <si>
    <t>cf76</t>
  </si>
  <si>
    <t>cf77</t>
  </si>
  <si>
    <t>cf78</t>
  </si>
  <si>
    <t>cf79</t>
  </si>
  <si>
    <t>cf80</t>
  </si>
  <si>
    <t>cf81</t>
  </si>
  <si>
    <t>cf82</t>
  </si>
  <si>
    <t>cf83</t>
  </si>
  <si>
    <t>cf84</t>
  </si>
  <si>
    <t>cf85</t>
  </si>
  <si>
    <t>cf86</t>
  </si>
  <si>
    <t>cf87</t>
  </si>
  <si>
    <t>cf89</t>
  </si>
  <si>
    <t>cf90</t>
  </si>
  <si>
    <t>cf91</t>
  </si>
  <si>
    <t>cf92</t>
  </si>
  <si>
    <t>cf93</t>
  </si>
  <si>
    <t>cf94</t>
  </si>
  <si>
    <t>cf95</t>
  </si>
  <si>
    <t>cf96</t>
  </si>
  <si>
    <t>cf98</t>
  </si>
  <si>
    <t>cf99</t>
  </si>
  <si>
    <t>dc</t>
  </si>
  <si>
    <t>ps</t>
  </si>
  <si>
    <t>Ferranti Margherita</t>
  </si>
  <si>
    <t>Inserra Maria Rita</t>
  </si>
  <si>
    <t>Petta Vanessa</t>
  </si>
  <si>
    <t>Sole Valentina</t>
  </si>
  <si>
    <t>Albanese Carmelino</t>
  </si>
  <si>
    <t>Borsellino Antonino</t>
  </si>
  <si>
    <t>Burgio Rosa</t>
  </si>
  <si>
    <t>Cannella Davide</t>
  </si>
  <si>
    <t>Cipolla Giuseppe</t>
  </si>
  <si>
    <t>Consentino Dario</t>
  </si>
  <si>
    <t>D'acquisto Armida</t>
  </si>
  <si>
    <t>Federico Filippo</t>
  </si>
  <si>
    <t>Greco Loredana</t>
  </si>
  <si>
    <t>Gullo Patrizia</t>
  </si>
  <si>
    <t>Imparato Emanuele</t>
  </si>
  <si>
    <t>Mancuso Vito</t>
  </si>
  <si>
    <t>cf8</t>
  </si>
  <si>
    <t>cf26</t>
  </si>
  <si>
    <t>cmb</t>
  </si>
  <si>
    <t>cf100</t>
  </si>
  <si>
    <t>cf101</t>
  </si>
  <si>
    <t>cf102</t>
  </si>
  <si>
    <t>cf103</t>
  </si>
  <si>
    <t>cf104</t>
  </si>
  <si>
    <t>cf105</t>
  </si>
  <si>
    <t>cf106</t>
  </si>
  <si>
    <t>cf107</t>
  </si>
  <si>
    <t>cf108</t>
  </si>
  <si>
    <t>cf109</t>
  </si>
  <si>
    <t>cf110</t>
  </si>
  <si>
    <t>cf111</t>
  </si>
  <si>
    <t>Madonia concetta</t>
  </si>
  <si>
    <t>psbo</t>
  </si>
  <si>
    <t>inizio fascia lun</t>
  </si>
  <si>
    <t>fine fascia lun</t>
  </si>
  <si>
    <t>inizio fascia mar</t>
  </si>
  <si>
    <t>fine fascia mar</t>
  </si>
  <si>
    <t>inizio fascia mer</t>
  </si>
  <si>
    <t>fine fascia mer</t>
  </si>
  <si>
    <t>inizio fascia gio</t>
  </si>
  <si>
    <t>fine fascia gio</t>
  </si>
  <si>
    <t>inizio fascia ven</t>
  </si>
  <si>
    <t>fine fascia ven</t>
  </si>
  <si>
    <t>inizio fasica sab</t>
  </si>
  <si>
    <t>fine fascia sab</t>
  </si>
  <si>
    <t>inizio fascia dom</t>
  </si>
  <si>
    <t>fine fascia dom</t>
  </si>
  <si>
    <t>solo turno 16-20</t>
  </si>
  <si>
    <t>turni opposti con moglie gibilaro</t>
  </si>
  <si>
    <t>blocco turno in questi orari 14:00-18:00,14:30-18:30 o 15:00-19:00</t>
  </si>
  <si>
    <t>1gg a 5 ore</t>
  </si>
  <si>
    <t xml:space="preserve">blocco turno 9-13  </t>
  </si>
  <si>
    <t>09-13 weekend libero</t>
  </si>
  <si>
    <t>blocco turno 9-13  + 1gg a 5 ore</t>
  </si>
  <si>
    <t>1gg 5h</t>
  </si>
  <si>
    <t>turni 4,5h</t>
  </si>
  <si>
    <t>09-15 lun dom</t>
  </si>
  <si>
    <t>blocco tuno 9:00 -13 lun /ven : sabato e domenica LIBERO</t>
  </si>
  <si>
    <t>blocco turno fascia 9-15</t>
  </si>
  <si>
    <t>blocco tuno 9:00 -13 lun /ven : sabato e domenica qualsiasi turno</t>
  </si>
  <si>
    <t>1 gg a 5 ore</t>
  </si>
  <si>
    <t>we sempre libero + 1gg a 5 ore</t>
  </si>
  <si>
    <t>entro le 14 dom alle 15</t>
  </si>
  <si>
    <t>preferib weekend liberi</t>
  </si>
  <si>
    <t>turni opposti con marito cannella</t>
  </si>
  <si>
    <t>Riposo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</si>
</sst>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h:mm;@"/>
    <numFmt numFmtId="165" formatCode="[$-F400]h:mm:ss\ AM/PM"/>
    <numFmt numFmtId="166" formatCode="ddd\ dd/mm"/>
    <numFmt numFmtId="167" formatCode="d/m;@"/>
    <numFmt numFmtId="168" formatCode="0.0"/>
  </numFmts>
  <fonts count="12">
    <font>
      <sz val="11"/>
      <color theme="1"/>
      <name val="Calibri"/>
      <family val="2"/>
      <scheme val="minor"/>
    </font>
    <font>
      <b/>
      <sz val="8"/>
      <name val="Tahoma"/>
      <family val="2"/>
    </font>
    <font>
      <sz val="10"/>
      <name val="Arial"/>
      <family val="2"/>
    </font>
    <font>
      <sz val="8"/>
      <name val="Tahom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</borders>
  <cellStyleXfs count="5">
    <xf numFmtId="0" fontId="0" fillId="0" borderId="0"/>
    <xf numFmtId="0" fontId="2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left" vertical="center" indent="1"/>
    </xf>
    <xf numFmtId="165" fontId="0" fillId="0" borderId="0" xfId="2" applyNumberFormat="1" applyFont="1" applyAlignment="1">
      <alignment horizontal="center"/>
    </xf>
    <xf numFmtId="20" fontId="0" fillId="3" borderId="0" xfId="0" applyNumberFormat="1" applyFill="1"/>
    <xf numFmtId="164" fontId="0" fillId="3" borderId="0" xfId="0" applyNumberFormat="1" applyFill="1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9" fontId="0" fillId="0" borderId="0" xfId="4" applyFont="1" applyAlignment="1">
      <alignment wrapText="1"/>
    </xf>
    <xf numFmtId="1" fontId="0" fillId="0" borderId="0" xfId="4" applyNumberFormat="1" applyFont="1" applyAlignment="1">
      <alignment wrapText="1"/>
    </xf>
    <xf numFmtId="0" fontId="0" fillId="0" borderId="0" xfId="0" applyAlignment="1">
      <alignment wrapText="1"/>
    </xf>
    <xf numFmtId="0" fontId="5" fillId="4" borderId="0" xfId="0" applyFont="1" applyFill="1" applyAlignment="1">
      <alignment wrapText="1"/>
    </xf>
    <xf numFmtId="166" fontId="5" fillId="4" borderId="0" xfId="0" applyNumberFormat="1" applyFont="1" applyFill="1" applyAlignment="1">
      <alignment wrapText="1"/>
    </xf>
    <xf numFmtId="167" fontId="0" fillId="0" borderId="0" xfId="4" applyNumberFormat="1" applyFont="1" applyAlignment="1">
      <alignment wrapText="1"/>
    </xf>
    <xf numFmtId="0" fontId="1" fillId="2" borderId="0" xfId="0" applyFont="1" applyFill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8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5">
    <cellStyle name="Migliaia" xfId="2" builtinId="3"/>
    <cellStyle name="Migliaia 2" xfId="3" xr:uid="{A10FD788-82AC-4B19-817A-7EC563BE0CE5}"/>
    <cellStyle name="Normale" xfId="0" builtinId="0"/>
    <cellStyle name="Normale_GIUGNO" xfId="1" xr:uid="{14DEA5E3-A79F-4506-BC56-90EF01CA740A}"/>
    <cellStyle name="Percentuale" xfId="4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6FC3AD3-1F6A-4CE4-B27E-B5E785B02B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E838-73D3-4362-A26C-A46E3E2F3CB9}">
  <sheetPr codeName="Foglio6"/>
  <dimension ref="A1:C8"/>
  <sheetViews>
    <sheetView workbookViewId="0">
      <selection activeCell="J35" sqref="J35"/>
    </sheetView>
  </sheetViews>
  <sheetFormatPr defaultRowHeight="15"/>
  <cols>
    <col min="2" max="2" width="13.28515625" bestFit="1" customWidth="1"/>
  </cols>
  <sheetData>
    <row r="1" spans="1:3">
      <c r="A1" t="s">
        <v>455</v>
      </c>
      <c r="B1" t="s">
        <v>456</v>
      </c>
      <c r="C1" t="s">
        <v>457</v>
      </c>
    </row>
    <row r="2" spans="1:3">
      <c r="A2" t="s">
        <v>215</v>
      </c>
      <c r="B2">
        <v>0.25</v>
      </c>
      <c r="C2">
        <v>1</v>
      </c>
    </row>
    <row r="3" spans="1:3">
      <c r="A3" t="s">
        <v>216</v>
      </c>
      <c r="B3">
        <v>0.25</v>
      </c>
      <c r="C3">
        <v>1</v>
      </c>
    </row>
    <row r="4" spans="1:3">
      <c r="A4" t="s">
        <v>217</v>
      </c>
      <c r="B4">
        <v>0.25</v>
      </c>
      <c r="C4">
        <v>1</v>
      </c>
    </row>
    <row r="5" spans="1:3">
      <c r="A5" t="s">
        <v>218</v>
      </c>
      <c r="B5">
        <v>0.25</v>
      </c>
      <c r="C5">
        <v>1</v>
      </c>
    </row>
    <row r="6" spans="1:3">
      <c r="A6" t="s">
        <v>219</v>
      </c>
      <c r="B6">
        <v>0.25</v>
      </c>
      <c r="C6">
        <v>1</v>
      </c>
    </row>
    <row r="7" spans="1:3">
      <c r="A7" t="s">
        <v>220</v>
      </c>
      <c r="B7">
        <v>0.05</v>
      </c>
      <c r="C7">
        <v>1.2</v>
      </c>
    </row>
    <row r="8" spans="1:3">
      <c r="A8" t="s">
        <v>221</v>
      </c>
      <c r="B8">
        <v>0</v>
      </c>
      <c r="C8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CD14-A1B3-4CED-B909-020808012783}">
  <sheetPr codeName="Foglio12"/>
  <dimension ref="A1:J96"/>
  <sheetViews>
    <sheetView topLeftCell="A61" zoomScale="90" zoomScaleNormal="90" workbookViewId="0">
      <selection activeCell="I76" sqref="I76"/>
    </sheetView>
  </sheetViews>
  <sheetFormatPr defaultRowHeight="15"/>
  <cols>
    <col min="1" max="1" width="11.85546875" customWidth="1"/>
    <col min="2" max="6" width="9.140625" style="3" customWidth="1"/>
    <col min="7" max="8" width="9.140625" style="3"/>
  </cols>
  <sheetData>
    <row r="1" spans="1:10">
      <c r="A1" t="s">
        <v>48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</row>
    <row r="2" spans="1:10">
      <c r="A2" t="s">
        <v>355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/>
      <c r="J2" s="5"/>
    </row>
    <row r="3" spans="1:10">
      <c r="A3" t="s">
        <v>356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5"/>
      <c r="J3" s="5"/>
    </row>
    <row r="4" spans="1:10">
      <c r="A4" t="s">
        <v>357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5"/>
      <c r="J4" s="5"/>
    </row>
    <row r="5" spans="1:10">
      <c r="A5" t="s">
        <v>358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5"/>
      <c r="J5" s="5"/>
    </row>
    <row r="6" spans="1:10">
      <c r="A6" t="s">
        <v>359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/>
      <c r="J6" s="5"/>
    </row>
    <row r="7" spans="1:10">
      <c r="A7" t="s">
        <v>360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5"/>
      <c r="J7" s="5"/>
    </row>
    <row r="8" spans="1:10">
      <c r="A8" t="s">
        <v>361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5"/>
      <c r="J8" s="5"/>
    </row>
    <row r="9" spans="1:10">
      <c r="A9" t="s">
        <v>362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5"/>
      <c r="J9" s="5"/>
    </row>
    <row r="10" spans="1:10">
      <c r="A10" t="s">
        <v>363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/>
      <c r="J10" s="5"/>
    </row>
    <row r="11" spans="1:10">
      <c r="A11" t="s">
        <v>364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/>
      <c r="J11" s="5"/>
    </row>
    <row r="12" spans="1:10">
      <c r="A12" t="s">
        <v>365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/>
      <c r="J12" s="5"/>
    </row>
    <row r="13" spans="1:10">
      <c r="A13" t="s">
        <v>366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/>
      <c r="J13" s="5"/>
    </row>
    <row r="14" spans="1:10">
      <c r="A14" t="s">
        <v>367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/>
      <c r="J14" s="5"/>
    </row>
    <row r="15" spans="1:10">
      <c r="A15" t="s">
        <v>368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/>
      <c r="J15" s="5"/>
    </row>
    <row r="16" spans="1:10">
      <c r="A16" t="s">
        <v>369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/>
      <c r="J16" s="5"/>
    </row>
    <row r="17" spans="1:10">
      <c r="A17" t="s">
        <v>370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/>
      <c r="J17" s="5"/>
    </row>
    <row r="18" spans="1:10">
      <c r="A18" t="s">
        <v>371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5"/>
      <c r="J18" s="5"/>
    </row>
    <row r="19" spans="1:10">
      <c r="A19" t="s">
        <v>372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/>
      <c r="J19" s="5"/>
    </row>
    <row r="20" spans="1:10">
      <c r="A20" t="s">
        <v>373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/>
      <c r="J20" s="5"/>
    </row>
    <row r="21" spans="1:10">
      <c r="A21" t="s">
        <v>374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/>
      <c r="J21" s="5"/>
    </row>
    <row r="22" spans="1:10">
      <c r="A22" t="s">
        <v>375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5"/>
      <c r="J22" s="5"/>
    </row>
    <row r="23" spans="1:10">
      <c r="A23" t="s">
        <v>376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/>
      <c r="J23" s="5"/>
    </row>
    <row r="24" spans="1:10">
      <c r="A24" t="s">
        <v>377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5"/>
      <c r="J24" s="5"/>
    </row>
    <row r="25" spans="1:10">
      <c r="A25" t="s">
        <v>378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/>
      <c r="J25" s="5"/>
    </row>
    <row r="26" spans="1:10">
      <c r="A26" t="s">
        <v>379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5"/>
      <c r="J26" s="5"/>
    </row>
    <row r="27" spans="1:10">
      <c r="A27" t="s">
        <v>380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/>
      <c r="J27" s="5"/>
    </row>
    <row r="28" spans="1:10">
      <c r="A28" t="s">
        <v>381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5"/>
      <c r="J28" s="5"/>
    </row>
    <row r="29" spans="1:10">
      <c r="A29" t="s">
        <v>382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/>
      <c r="J29" s="5"/>
    </row>
    <row r="30" spans="1:10">
      <c r="A30" t="s">
        <v>383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/>
      <c r="J30" s="5"/>
    </row>
    <row r="31" spans="1:10">
      <c r="A31" t="s">
        <v>384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5"/>
      <c r="J31" s="5"/>
    </row>
    <row r="32" spans="1:10">
      <c r="A32" t="s">
        <v>385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5"/>
      <c r="J32" s="5"/>
    </row>
    <row r="33" spans="1:10">
      <c r="A33" t="s">
        <v>386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/>
      <c r="J33" s="5"/>
    </row>
    <row r="34" spans="1:10">
      <c r="A34" t="s">
        <v>387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5"/>
      <c r="J34" s="5"/>
    </row>
    <row r="35" spans="1:10">
      <c r="A35" t="s">
        <v>388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/>
      <c r="J35" s="5"/>
    </row>
    <row r="36" spans="1:10">
      <c r="A36" t="s">
        <v>389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5"/>
      <c r="J36" s="5"/>
    </row>
    <row r="37" spans="1:10">
      <c r="A37" t="s">
        <v>0</v>
      </c>
      <c r="B37" s="4">
        <v>6.0137099885137042</v>
      </c>
      <c r="C37" s="4">
        <v>7.1707199858630188</v>
      </c>
      <c r="D37" s="4">
        <v>7.3635549854212394</v>
      </c>
      <c r="E37" s="4">
        <v>6.9503371292250549</v>
      </c>
      <c r="F37" s="4">
        <v>6.2788581129062555</v>
      </c>
      <c r="G37" s="4">
        <v>6.3993799876301427</v>
      </c>
      <c r="H37" s="4">
        <v>0</v>
      </c>
      <c r="I37" s="5"/>
      <c r="J37" s="5"/>
    </row>
    <row r="38" spans="1:10">
      <c r="A38" t="s">
        <v>1</v>
      </c>
      <c r="B38" s="4">
        <v>6.0137099885137042</v>
      </c>
      <c r="C38" s="4">
        <v>7.1707199858630188</v>
      </c>
      <c r="D38" s="4">
        <v>7.3635549854212394</v>
      </c>
      <c r="E38" s="4">
        <v>6.9503371292250549</v>
      </c>
      <c r="F38" s="4">
        <v>6.2788581129062555</v>
      </c>
      <c r="G38" s="4">
        <v>6.3993799876301427</v>
      </c>
      <c r="H38" s="4">
        <v>0</v>
      </c>
      <c r="I38" s="5"/>
      <c r="J38" s="5"/>
    </row>
    <row r="39" spans="1:10">
      <c r="A39" t="s">
        <v>2</v>
      </c>
      <c r="B39" s="4">
        <v>9.0347916482591426</v>
      </c>
      <c r="C39" s="4">
        <v>10.513193311538823</v>
      </c>
      <c r="D39" s="4">
        <v>9.2643571239236877</v>
      </c>
      <c r="E39" s="4">
        <v>12.074238546057742</v>
      </c>
      <c r="F39" s="4">
        <v>8.7375043572735525</v>
      </c>
      <c r="G39" s="4">
        <v>7.9420599840958968</v>
      </c>
      <c r="H39" s="4">
        <v>0</v>
      </c>
      <c r="I39" s="5"/>
      <c r="J39" s="5"/>
    </row>
    <row r="40" spans="1:10">
      <c r="A40" t="s">
        <v>3</v>
      </c>
      <c r="B40" s="4">
        <v>9.0347916482591426</v>
      </c>
      <c r="C40" s="4">
        <v>10.513193311538823</v>
      </c>
      <c r="D40" s="4">
        <v>9.2643571239236877</v>
      </c>
      <c r="E40" s="4">
        <v>12.074238546057742</v>
      </c>
      <c r="F40" s="4">
        <v>8.7375043572735525</v>
      </c>
      <c r="G40" s="4">
        <v>7.9420599840958968</v>
      </c>
      <c r="H40" s="4">
        <v>0</v>
      </c>
      <c r="I40" s="5"/>
      <c r="J40" s="5"/>
    </row>
    <row r="41" spans="1:10">
      <c r="A41" t="s">
        <v>4</v>
      </c>
      <c r="B41" s="4">
        <v>9.7418533133059455</v>
      </c>
      <c r="C41" s="4">
        <v>13.791388304028553</v>
      </c>
      <c r="D41" s="4">
        <v>10.586654263751479</v>
      </c>
      <c r="E41" s="4">
        <v>9.9255056938375823</v>
      </c>
      <c r="F41" s="4">
        <v>9.9668274794572014</v>
      </c>
      <c r="G41" s="4">
        <v>9.0990699814452132</v>
      </c>
      <c r="H41" s="4">
        <v>0</v>
      </c>
      <c r="I41" s="5"/>
      <c r="J41" s="5"/>
    </row>
    <row r="42" spans="1:10">
      <c r="A42" t="s">
        <v>5</v>
      </c>
      <c r="B42" s="4">
        <v>9.7418533133059455</v>
      </c>
      <c r="C42" s="4">
        <v>13.791388304028553</v>
      </c>
      <c r="D42" s="4">
        <v>10.586654263751479</v>
      </c>
      <c r="E42" s="4">
        <v>9.9255056938375823</v>
      </c>
      <c r="F42" s="4">
        <v>9.9668274794572014</v>
      </c>
      <c r="G42" s="4">
        <v>9.0990699814452132</v>
      </c>
      <c r="H42" s="4">
        <v>0</v>
      </c>
      <c r="I42" s="5"/>
      <c r="J42" s="5"/>
    </row>
    <row r="43" spans="1:10">
      <c r="A43" t="s">
        <v>6</v>
      </c>
      <c r="B43" s="4">
        <v>11.670203308888139</v>
      </c>
      <c r="C43" s="4">
        <v>11.477368309329917</v>
      </c>
      <c r="D43" s="4">
        <v>10.999872119947661</v>
      </c>
      <c r="E43" s="4">
        <v>12.90067425845011</v>
      </c>
      <c r="F43" s="4">
        <v>11.846968725149839</v>
      </c>
      <c r="G43" s="4">
        <v>9.8061316464920161</v>
      </c>
      <c r="H43" s="4">
        <v>0</v>
      </c>
      <c r="I43" s="5"/>
      <c r="J43" s="5"/>
    </row>
    <row r="44" spans="1:10">
      <c r="A44" t="s">
        <v>7</v>
      </c>
      <c r="B44" s="4">
        <v>11.670203308888139</v>
      </c>
      <c r="C44" s="4">
        <v>11.477368309329917</v>
      </c>
      <c r="D44" s="4">
        <v>10.999872119947661</v>
      </c>
      <c r="E44" s="4">
        <v>12.90067425845011</v>
      </c>
      <c r="F44" s="4">
        <v>11.846968725149839</v>
      </c>
      <c r="G44" s="4">
        <v>9.8061316464920161</v>
      </c>
      <c r="H44" s="4">
        <v>0</v>
      </c>
      <c r="I44" s="5"/>
      <c r="J44" s="5"/>
    </row>
    <row r="45" spans="1:10">
      <c r="A45" t="s">
        <v>8</v>
      </c>
      <c r="B45" s="4">
        <v>10.513193311538823</v>
      </c>
      <c r="C45" s="4">
        <v>12.50582164030709</v>
      </c>
      <c r="D45" s="4">
        <v>10.090792836316057</v>
      </c>
      <c r="E45" s="4">
        <v>13.231248543407057</v>
      </c>
      <c r="F45" s="4">
        <v>9.6775749801198714</v>
      </c>
      <c r="G45" s="4">
        <v>10.25607997879453</v>
      </c>
      <c r="H45" s="4">
        <v>5.8620420113330818</v>
      </c>
      <c r="I45" s="5"/>
      <c r="J45" s="5"/>
    </row>
    <row r="46" spans="1:10">
      <c r="A46" t="s">
        <v>9</v>
      </c>
      <c r="B46" s="4">
        <v>10.513193311538823</v>
      </c>
      <c r="C46" s="4">
        <v>12.50582164030709</v>
      </c>
      <c r="D46" s="4">
        <v>10.090792836316057</v>
      </c>
      <c r="E46" s="4">
        <v>13.231248543407057</v>
      </c>
      <c r="F46" s="4">
        <v>9.6775749801198714</v>
      </c>
      <c r="G46" s="4">
        <v>10.25607997879453</v>
      </c>
      <c r="H46" s="4">
        <v>5.8620420113330818</v>
      </c>
      <c r="I46" s="5"/>
      <c r="J46" s="5"/>
    </row>
    <row r="47" spans="1:10">
      <c r="A47" t="s">
        <v>10</v>
      </c>
      <c r="B47" s="4">
        <v>10.706028311097043</v>
      </c>
      <c r="C47" s="4">
        <v>12.184429974376723</v>
      </c>
      <c r="D47" s="4">
        <v>11.826307832340031</v>
      </c>
      <c r="E47" s="4">
        <v>11.247802833665373</v>
      </c>
      <c r="F47" s="4">
        <v>11.557716225812511</v>
      </c>
      <c r="G47" s="4">
        <v>10.44891497835275</v>
      </c>
      <c r="H47" s="4">
        <v>6.2303785273431638</v>
      </c>
      <c r="I47" s="5"/>
      <c r="J47" s="5"/>
    </row>
    <row r="48" spans="1:10">
      <c r="A48" t="s">
        <v>11</v>
      </c>
      <c r="B48" s="4">
        <v>10.706028311097043</v>
      </c>
      <c r="C48" s="4">
        <v>12.184429974376723</v>
      </c>
      <c r="D48" s="4">
        <v>11.826307832340031</v>
      </c>
      <c r="E48" s="4">
        <v>11.247802833665373</v>
      </c>
      <c r="F48" s="4">
        <v>11.557716225812511</v>
      </c>
      <c r="G48" s="4">
        <v>10.44891497835275</v>
      </c>
      <c r="H48" s="4">
        <v>6.2303785273431638</v>
      </c>
      <c r="I48" s="5"/>
      <c r="J48" s="5"/>
    </row>
    <row r="49" spans="1:10">
      <c r="A49" t="s">
        <v>12</v>
      </c>
      <c r="B49" s="4">
        <v>11.155976643399557</v>
      </c>
      <c r="C49" s="4">
        <v>13.212883305353895</v>
      </c>
      <c r="D49" s="4">
        <v>11.165159262426137</v>
      </c>
      <c r="E49" s="4">
        <v>12.983317829689346</v>
      </c>
      <c r="F49" s="4">
        <v>12.570099973493161</v>
      </c>
      <c r="G49" s="4">
        <v>10.706028311097041</v>
      </c>
      <c r="H49" s="4">
        <v>3.9466921280806555</v>
      </c>
      <c r="I49" s="5"/>
      <c r="J49" s="5"/>
    </row>
    <row r="50" spans="1:10">
      <c r="A50" t="s">
        <v>13</v>
      </c>
      <c r="B50" s="4">
        <v>11.155976643399557</v>
      </c>
      <c r="C50" s="4">
        <v>13.212883305353895</v>
      </c>
      <c r="D50" s="4">
        <v>11.165159262426137</v>
      </c>
      <c r="E50" s="4">
        <v>12.983317829689346</v>
      </c>
      <c r="F50" s="4">
        <v>12.570099973493161</v>
      </c>
      <c r="G50" s="4">
        <v>10.706028311097041</v>
      </c>
      <c r="H50" s="4">
        <v>3.9466921280806555</v>
      </c>
    </row>
    <row r="51" spans="1:10">
      <c r="A51" t="s">
        <v>14</v>
      </c>
      <c r="B51" s="4">
        <v>9.6132966469338008</v>
      </c>
      <c r="C51" s="4">
        <v>10.706028311097041</v>
      </c>
      <c r="D51" s="4">
        <v>8.6858521252490295</v>
      </c>
      <c r="E51" s="4">
        <v>8.9337828389667386</v>
      </c>
      <c r="F51" s="4">
        <v>9.0990699814452132</v>
      </c>
      <c r="G51" s="4">
        <v>8.3277299832123362</v>
      </c>
      <c r="H51" s="4">
        <v>3.1363517928584757</v>
      </c>
    </row>
    <row r="52" spans="1:10">
      <c r="A52" t="s">
        <v>15</v>
      </c>
      <c r="B52" s="4">
        <v>9.6132966469338008</v>
      </c>
      <c r="C52" s="4">
        <v>10.706028311097041</v>
      </c>
      <c r="D52" s="4">
        <v>8.6858521252490295</v>
      </c>
      <c r="E52" s="4">
        <v>8.9337828389667386</v>
      </c>
      <c r="F52" s="4">
        <v>9.0990699814452132</v>
      </c>
      <c r="G52" s="4">
        <v>8.3277299832123362</v>
      </c>
      <c r="H52" s="4">
        <v>3.1363517928584757</v>
      </c>
    </row>
    <row r="53" spans="1:10">
      <c r="A53" t="s">
        <v>16</v>
      </c>
      <c r="B53" s="4">
        <v>6.0779883216997783</v>
      </c>
      <c r="C53" s="4">
        <v>5.6280399893972648</v>
      </c>
      <c r="D53" s="4">
        <v>5.9586142743542121</v>
      </c>
      <c r="E53" s="4">
        <v>5.2974657044403175</v>
      </c>
      <c r="F53" s="4">
        <v>5.7726662390659289</v>
      </c>
      <c r="G53" s="4">
        <v>4.5353083252340216</v>
      </c>
      <c r="H53" s="4">
        <v>3.578355612070574</v>
      </c>
    </row>
    <row r="54" spans="1:10">
      <c r="A54" t="s">
        <v>17</v>
      </c>
      <c r="B54" s="4">
        <v>6.0779883216997783</v>
      </c>
      <c r="C54" s="4">
        <v>5.6280399893972648</v>
      </c>
      <c r="D54" s="4">
        <v>5.9586142743542121</v>
      </c>
      <c r="E54" s="4">
        <v>5.2974657044403175</v>
      </c>
      <c r="F54" s="4">
        <v>5.7726662390659289</v>
      </c>
      <c r="G54" s="4">
        <v>4.5353083252340216</v>
      </c>
      <c r="H54" s="4">
        <v>3.578355612070574</v>
      </c>
    </row>
    <row r="55" spans="1:10">
      <c r="A55" t="s">
        <v>18</v>
      </c>
      <c r="B55" s="4">
        <v>4.5995866584200957</v>
      </c>
      <c r="C55" s="4">
        <v>6.0779883216997774</v>
      </c>
      <c r="D55" s="4">
        <v>4.9668914194833702</v>
      </c>
      <c r="E55" s="4">
        <v>4.636317134526422</v>
      </c>
      <c r="F55" s="4">
        <v>5.8449793639002623</v>
      </c>
      <c r="G55" s="4">
        <v>4.1496383261175831</v>
      </c>
      <c r="H55" s="4">
        <v>3.2836863992625078</v>
      </c>
    </row>
    <row r="56" spans="1:10">
      <c r="A56" t="s">
        <v>19</v>
      </c>
      <c r="B56" s="4">
        <v>4.5995866584200957</v>
      </c>
      <c r="C56" s="4">
        <v>6.0779883216997774</v>
      </c>
      <c r="D56" s="4">
        <v>4.9668914194833702</v>
      </c>
      <c r="E56" s="4">
        <v>4.636317134526422</v>
      </c>
      <c r="F56" s="4">
        <v>5.8449793639002623</v>
      </c>
      <c r="G56" s="4">
        <v>4.1496383261175831</v>
      </c>
      <c r="H56" s="4">
        <v>3.2836863992625078</v>
      </c>
    </row>
    <row r="57" spans="1:10">
      <c r="A57" t="s">
        <v>20</v>
      </c>
      <c r="B57" s="4">
        <v>5.8208749889554854</v>
      </c>
      <c r="C57" s="4">
        <v>6.7850499867465812</v>
      </c>
      <c r="D57" s="4">
        <v>5.4627528469187911</v>
      </c>
      <c r="E57" s="4">
        <v>4.4710299920479493</v>
      </c>
      <c r="F57" s="4">
        <v>5.1218481155569382</v>
      </c>
      <c r="G57" s="4">
        <v>4.2781949924897296</v>
      </c>
      <c r="H57" s="4">
        <v>4.3150286440907379</v>
      </c>
    </row>
    <row r="58" spans="1:10">
      <c r="A58" t="s">
        <v>21</v>
      </c>
      <c r="B58" s="4">
        <v>5.8208749889554854</v>
      </c>
      <c r="C58" s="4">
        <v>6.7850499867465812</v>
      </c>
      <c r="D58" s="4">
        <v>5.4627528469187911</v>
      </c>
      <c r="E58" s="4">
        <v>4.4710299920479493</v>
      </c>
      <c r="F58" s="4">
        <v>5.1218481155569382</v>
      </c>
      <c r="G58" s="4">
        <v>4.2781949924897296</v>
      </c>
      <c r="H58" s="4">
        <v>4.3150286440907379</v>
      </c>
    </row>
    <row r="59" spans="1:10">
      <c r="A59" t="s">
        <v>22</v>
      </c>
      <c r="B59" s="4">
        <v>4.3424733256758028</v>
      </c>
      <c r="C59" s="4">
        <v>6.8493283199326536</v>
      </c>
      <c r="D59" s="4">
        <v>6.2891885593111594</v>
      </c>
      <c r="E59" s="4">
        <v>5.1321785619618439</v>
      </c>
      <c r="F59" s="4">
        <v>5.7003531142315973</v>
      </c>
      <c r="G59" s="4">
        <v>3.4425766610707789</v>
      </c>
      <c r="H59" s="4">
        <v>3.7256902184746057</v>
      </c>
    </row>
    <row r="60" spans="1:10">
      <c r="A60" t="s">
        <v>23</v>
      </c>
      <c r="B60" s="4">
        <v>4.3424733256758028</v>
      </c>
      <c r="C60" s="4">
        <v>6.8493283199326536</v>
      </c>
      <c r="D60" s="4">
        <v>6.2891885593111594</v>
      </c>
      <c r="E60" s="4">
        <v>5.1321785619618439</v>
      </c>
      <c r="F60" s="4">
        <v>5.7003531142315973</v>
      </c>
      <c r="G60" s="4">
        <v>3.4425766610707789</v>
      </c>
      <c r="H60" s="4">
        <v>3.7256902184746057</v>
      </c>
    </row>
    <row r="61" spans="1:10">
      <c r="A61" t="s">
        <v>24</v>
      </c>
      <c r="B61" s="4">
        <v>6.8493283199326562</v>
      </c>
      <c r="C61" s="4">
        <v>7.9420599840958968</v>
      </c>
      <c r="D61" s="4">
        <v>5.2974657044403175</v>
      </c>
      <c r="E61" s="4">
        <v>7.1156242717035285</v>
      </c>
      <c r="F61" s="4">
        <v>6.3511712377405871</v>
      </c>
      <c r="G61" s="4">
        <v>5.2423699902808254</v>
      </c>
      <c r="H61" s="4">
        <v>3.0626844896564589</v>
      </c>
    </row>
    <row r="62" spans="1:10">
      <c r="A62" t="s">
        <v>25</v>
      </c>
      <c r="B62" s="4">
        <v>6.8493283199326562</v>
      </c>
      <c r="C62" s="4">
        <v>7.9420599840958968</v>
      </c>
      <c r="D62" s="4">
        <v>5.2974657044403175</v>
      </c>
      <c r="E62" s="4">
        <v>7.1156242717035285</v>
      </c>
      <c r="F62" s="4">
        <v>6.3511712377405871</v>
      </c>
      <c r="G62" s="4">
        <v>5.2423699902808254</v>
      </c>
      <c r="H62" s="4">
        <v>3.0626844896564589</v>
      </c>
    </row>
    <row r="63" spans="1:10">
      <c r="A63" t="s">
        <v>26</v>
      </c>
      <c r="B63" s="4">
        <v>8.1991733168401915</v>
      </c>
      <c r="C63" s="4">
        <v>8.7133999823287738</v>
      </c>
      <c r="D63" s="4">
        <v>7.6941292703781867</v>
      </c>
      <c r="E63" s="4">
        <v>8.272634269052844</v>
      </c>
      <c r="F63" s="4">
        <v>6.7850499867465803</v>
      </c>
      <c r="G63" s="4">
        <v>4.8566999911643878</v>
      </c>
      <c r="H63" s="4">
        <v>4.0203594312826718</v>
      </c>
    </row>
    <row r="64" spans="1:10">
      <c r="A64" t="s">
        <v>27</v>
      </c>
      <c r="B64" s="4">
        <v>8.1991733168401915</v>
      </c>
      <c r="C64" s="4">
        <v>8.7133999823287738</v>
      </c>
      <c r="D64" s="4">
        <v>7.6941292703781867</v>
      </c>
      <c r="E64" s="4">
        <v>8.272634269052844</v>
      </c>
      <c r="F64" s="4">
        <v>6.7850499867465803</v>
      </c>
      <c r="G64" s="4">
        <v>4.8566999911643878</v>
      </c>
      <c r="H64" s="4">
        <v>4.0203594312826718</v>
      </c>
    </row>
    <row r="65" spans="1:8">
      <c r="A65" t="s">
        <v>28</v>
      </c>
      <c r="B65" s="4">
        <v>9.2276266478173596</v>
      </c>
      <c r="C65" s="4">
        <v>12.120151641190651</v>
      </c>
      <c r="D65" s="4">
        <v>9.4296442664021622</v>
      </c>
      <c r="E65" s="4">
        <v>10.917228548708422</v>
      </c>
      <c r="F65" s="4">
        <v>9.5329487304512082</v>
      </c>
      <c r="G65" s="4">
        <v>7.8135033177237521</v>
      </c>
      <c r="H65" s="4">
        <v>4.9043670697068702</v>
      </c>
    </row>
    <row r="66" spans="1:8">
      <c r="A66" t="s">
        <v>29</v>
      </c>
      <c r="B66" s="4">
        <v>9.2276266478173596</v>
      </c>
      <c r="C66" s="4">
        <v>12.120151641190651</v>
      </c>
      <c r="D66" s="4">
        <v>9.4296442664021622</v>
      </c>
      <c r="E66" s="4">
        <v>10.917228548708422</v>
      </c>
      <c r="F66" s="4">
        <v>9.5329487304512082</v>
      </c>
      <c r="G66" s="4">
        <v>7.8135033177237521</v>
      </c>
      <c r="H66" s="4">
        <v>4.9043670697068702</v>
      </c>
    </row>
    <row r="67" spans="1:8">
      <c r="A67" t="s">
        <v>30</v>
      </c>
      <c r="B67" s="4">
        <v>11.348811642957774</v>
      </c>
      <c r="C67" s="4">
        <v>12.248708307562797</v>
      </c>
      <c r="D67" s="4">
        <v>10.173436407555295</v>
      </c>
      <c r="E67" s="4">
        <v>10.173436407555295</v>
      </c>
      <c r="F67" s="4">
        <v>13.293231221836486</v>
      </c>
      <c r="G67" s="4">
        <v>9.613296646933799</v>
      </c>
      <c r="H67" s="4">
        <v>4.2413613408887212</v>
      </c>
    </row>
    <row r="68" spans="1:8">
      <c r="A68" t="s">
        <v>31</v>
      </c>
      <c r="B68" s="4">
        <v>11.348811642957774</v>
      </c>
      <c r="C68" s="4">
        <v>12.248708307562797</v>
      </c>
      <c r="D68" s="4">
        <v>10.173436407555295</v>
      </c>
      <c r="E68" s="4">
        <v>10.173436407555295</v>
      </c>
      <c r="F68" s="4">
        <v>13.293231221836486</v>
      </c>
      <c r="G68" s="4">
        <v>9.613296646933799</v>
      </c>
      <c r="H68" s="4">
        <v>4.2413613408887212</v>
      </c>
    </row>
    <row r="69" spans="1:8">
      <c r="A69" t="s">
        <v>32</v>
      </c>
      <c r="B69" s="4">
        <v>10.320358311980604</v>
      </c>
      <c r="C69" s="4">
        <v>10.25607997879453</v>
      </c>
      <c r="D69" s="4">
        <v>12.322169259775453</v>
      </c>
      <c r="E69" s="4">
        <v>12.735387115971637</v>
      </c>
      <c r="F69" s="4">
        <v>11.702342475481174</v>
      </c>
      <c r="G69" s="4">
        <v>6.9136066531187277</v>
      </c>
      <c r="H69" s="4">
        <v>3.6520229152725903</v>
      </c>
    </row>
    <row r="70" spans="1:8">
      <c r="A70" t="s">
        <v>33</v>
      </c>
      <c r="B70" s="4">
        <v>10.320358311980604</v>
      </c>
      <c r="C70" s="4">
        <v>10.25607997879453</v>
      </c>
      <c r="D70" s="4">
        <v>12.322169259775453</v>
      </c>
      <c r="E70" s="4">
        <v>12.735387115971637</v>
      </c>
      <c r="F70" s="4">
        <v>11.702342475481174</v>
      </c>
      <c r="G70" s="4">
        <v>6.9136066531187277</v>
      </c>
      <c r="H70" s="4">
        <v>3.6520229152725903</v>
      </c>
    </row>
    <row r="71" spans="1:8">
      <c r="A71" t="s">
        <v>34</v>
      </c>
      <c r="B71" s="4">
        <v>10.706028311097043</v>
      </c>
      <c r="C71" s="4">
        <v>12.570099973493162</v>
      </c>
      <c r="D71" s="4">
        <v>11.413089976143848</v>
      </c>
      <c r="E71" s="4">
        <v>11.247802833665373</v>
      </c>
      <c r="F71" s="4">
        <v>10.545332478131858</v>
      </c>
      <c r="G71" s="4">
        <v>7.0421633194908742</v>
      </c>
      <c r="H71" s="4">
        <v>4.0940267344846877</v>
      </c>
    </row>
    <row r="72" spans="1:8">
      <c r="A72" t="s">
        <v>35</v>
      </c>
      <c r="B72" s="4">
        <v>10.706028311097043</v>
      </c>
      <c r="C72" s="4">
        <v>12.570099973493162</v>
      </c>
      <c r="D72" s="4">
        <v>11.413089976143848</v>
      </c>
      <c r="E72" s="4">
        <v>11.247802833665373</v>
      </c>
      <c r="F72" s="4">
        <v>10.545332478131858</v>
      </c>
      <c r="G72" s="4">
        <v>7.0421633194908742</v>
      </c>
      <c r="H72" s="4">
        <v>4.0940267344846877</v>
      </c>
    </row>
    <row r="73" spans="1:8">
      <c r="A73" t="s">
        <v>36</v>
      </c>
      <c r="B73" s="4">
        <v>10.641749977910971</v>
      </c>
      <c r="C73" s="4">
        <v>10.127523312422385</v>
      </c>
      <c r="D73" s="4">
        <v>10.256079978794533</v>
      </c>
      <c r="E73" s="4">
        <v>9.2643571239236877</v>
      </c>
      <c r="F73" s="4">
        <v>9.7498881049542039</v>
      </c>
      <c r="G73" s="4">
        <v>6.0779883216997774</v>
      </c>
      <c r="H73" s="4">
        <v>3.0626844896564589</v>
      </c>
    </row>
    <row r="74" spans="1:8">
      <c r="A74" t="s">
        <v>37</v>
      </c>
      <c r="B74" s="4">
        <v>10.641749977910971</v>
      </c>
      <c r="C74" s="4">
        <v>10.127523312422385</v>
      </c>
      <c r="D74" s="4">
        <v>10.256079978794533</v>
      </c>
      <c r="E74" s="4">
        <v>9.2643571239236877</v>
      </c>
      <c r="F74" s="4">
        <v>9.7498881049542039</v>
      </c>
      <c r="G74" s="4">
        <v>6.0779883216997774</v>
      </c>
      <c r="H74" s="4">
        <v>3.0626844896564589</v>
      </c>
    </row>
    <row r="75" spans="1:8">
      <c r="A75" t="s">
        <v>38</v>
      </c>
      <c r="B75" s="4">
        <v>9.0347916482591426</v>
      </c>
      <c r="C75" s="4">
        <v>9.9346883128641625</v>
      </c>
      <c r="D75" s="4">
        <v>8.8511392677275023</v>
      </c>
      <c r="E75" s="4">
        <v>9.9255056938375823</v>
      </c>
      <c r="F75" s="4">
        <v>11.196150601640849</v>
      </c>
      <c r="G75" s="4">
        <v>6.206544988071923</v>
      </c>
      <c r="H75" s="4">
        <v>3.4310210056665409</v>
      </c>
    </row>
    <row r="76" spans="1:8">
      <c r="A76" t="s">
        <v>39</v>
      </c>
      <c r="B76" s="4">
        <v>9.0347916482591426</v>
      </c>
      <c r="C76" s="4">
        <v>9.9346883128641625</v>
      </c>
      <c r="D76" s="4">
        <v>8.8511392677275023</v>
      </c>
      <c r="E76" s="4">
        <v>9.9255056938375823</v>
      </c>
      <c r="F76" s="4">
        <v>11.196150601640849</v>
      </c>
      <c r="G76" s="4">
        <v>6.206544988071923</v>
      </c>
      <c r="H76" s="4">
        <v>3.4310210056665409</v>
      </c>
    </row>
    <row r="77" spans="1:8">
      <c r="A77" t="s">
        <v>40</v>
      </c>
      <c r="B77" s="4">
        <v>8.2634516500262638</v>
      </c>
      <c r="C77" s="4">
        <v>7.2992766522351662</v>
      </c>
      <c r="D77" s="4">
        <v>8.6032085540097931</v>
      </c>
      <c r="E77" s="4">
        <v>7.4461985566604767</v>
      </c>
      <c r="F77" s="4">
        <v>8.231312483433225</v>
      </c>
      <c r="G77" s="4">
        <v>5.0495349907226066</v>
      </c>
      <c r="H77" s="4">
        <v>3.210019096060492</v>
      </c>
    </row>
    <row r="78" spans="1:8">
      <c r="A78" t="s">
        <v>41</v>
      </c>
      <c r="B78" s="4">
        <v>8.2634516500262638</v>
      </c>
      <c r="C78" s="4">
        <v>7.2992766522351662</v>
      </c>
      <c r="D78" s="4">
        <v>8.6032085540097931</v>
      </c>
      <c r="E78" s="4">
        <v>7.4461985566604767</v>
      </c>
      <c r="F78" s="4">
        <v>8.231312483433225</v>
      </c>
      <c r="G78" s="4">
        <v>5.0495349907226066</v>
      </c>
      <c r="H78" s="4">
        <v>3.210019096060492</v>
      </c>
    </row>
    <row r="79" spans="1:8">
      <c r="A79" t="s">
        <v>42</v>
      </c>
      <c r="B79" s="4">
        <v>3.5068549942568521</v>
      </c>
      <c r="C79" s="4">
        <v>4.5353083252340216</v>
      </c>
      <c r="D79" s="4">
        <v>4.636317134526422</v>
      </c>
      <c r="E79" s="4">
        <v>6.1239014168326866</v>
      </c>
      <c r="F79" s="4">
        <v>5.4111006148942682</v>
      </c>
      <c r="G79" s="4">
        <v>3.8925249933732906</v>
      </c>
      <c r="H79" s="4">
        <v>2</v>
      </c>
    </row>
    <row r="80" spans="1:8">
      <c r="A80" t="s">
        <v>43</v>
      </c>
      <c r="B80" s="4">
        <v>3.5068549942568521</v>
      </c>
      <c r="C80" s="4">
        <v>4.5353083252340216</v>
      </c>
      <c r="D80" s="4">
        <v>4.636317134526422</v>
      </c>
      <c r="E80" s="4">
        <v>6.1239014168326866</v>
      </c>
      <c r="F80" s="4">
        <v>5.4111006148942682</v>
      </c>
      <c r="G80" s="4">
        <v>3.8925249933732906</v>
      </c>
      <c r="H80" s="4">
        <v>2</v>
      </c>
    </row>
    <row r="81" spans="1:8">
      <c r="A81" t="s">
        <v>44</v>
      </c>
      <c r="B81" s="4">
        <v>2.4784016632796817</v>
      </c>
      <c r="C81" s="4">
        <v>2.2855666637214624</v>
      </c>
      <c r="D81" s="4">
        <v>3.0660892809809219</v>
      </c>
      <c r="E81" s="4">
        <v>2.4049407110670269</v>
      </c>
      <c r="F81" s="4">
        <v>2.7355149960239742</v>
      </c>
      <c r="G81" s="4">
        <v>2.5426799964657549</v>
      </c>
      <c r="H81" s="4">
        <v>2</v>
      </c>
    </row>
    <row r="82" spans="1:8">
      <c r="A82" t="s">
        <v>45</v>
      </c>
      <c r="B82" s="4">
        <v>2.4784016632796817</v>
      </c>
      <c r="C82" s="4">
        <v>2.2855666637214624</v>
      </c>
      <c r="D82" s="4">
        <v>3.0660892809809219</v>
      </c>
      <c r="E82" s="4">
        <v>2.4049407110670269</v>
      </c>
      <c r="F82" s="4">
        <v>2.7355149960239742</v>
      </c>
      <c r="G82" s="4">
        <v>2.5426799964657549</v>
      </c>
      <c r="H82" s="4">
        <v>2</v>
      </c>
    </row>
    <row r="83" spans="1:8">
      <c r="A83" t="s">
        <v>46</v>
      </c>
      <c r="B83" s="4">
        <v>2</v>
      </c>
      <c r="C83" s="4">
        <v>2</v>
      </c>
      <c r="D83" s="4">
        <v>2</v>
      </c>
      <c r="E83" s="4">
        <v>2</v>
      </c>
      <c r="F83" s="4">
        <v>2</v>
      </c>
      <c r="G83" s="4">
        <v>2</v>
      </c>
      <c r="H83" s="4">
        <v>2</v>
      </c>
    </row>
    <row r="84" spans="1:8">
      <c r="A84" t="s">
        <v>47</v>
      </c>
      <c r="B84" s="4">
        <v>2</v>
      </c>
      <c r="C84" s="4">
        <v>2</v>
      </c>
      <c r="D84" s="4">
        <v>2</v>
      </c>
      <c r="E84" s="4">
        <v>2</v>
      </c>
      <c r="F84" s="4">
        <v>2</v>
      </c>
      <c r="G84" s="4">
        <v>2</v>
      </c>
      <c r="H84" s="4">
        <v>2</v>
      </c>
    </row>
    <row r="85" spans="1:8">
      <c r="A85" t="s">
        <v>390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391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392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393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394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395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396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397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398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399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400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401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92D5-ED46-466B-86F1-A4A7BAB4C9EB}">
  <sheetPr codeName="Foglio13"/>
  <dimension ref="A1:J96"/>
  <sheetViews>
    <sheetView tabSelected="1" topLeftCell="A19" zoomScale="70" zoomScaleNormal="70" workbookViewId="0">
      <selection activeCell="F39" sqref="F39:F55"/>
    </sheetView>
  </sheetViews>
  <sheetFormatPr defaultRowHeight="15"/>
  <cols>
    <col min="1" max="1" width="11.85546875" customWidth="1"/>
    <col min="2" max="6" width="9" style="3" customWidth="1"/>
    <col min="7" max="8" width="9" style="3"/>
  </cols>
  <sheetData>
    <row r="1" spans="1:10">
      <c r="A1" t="s">
        <v>48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</row>
    <row r="2" spans="1:10">
      <c r="A2" t="s">
        <v>355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/>
      <c r="J2" s="5"/>
    </row>
    <row r="3" spans="1:10">
      <c r="A3" t="s">
        <v>356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5"/>
      <c r="J3" s="5"/>
    </row>
    <row r="4" spans="1:10">
      <c r="A4" t="s">
        <v>357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5"/>
      <c r="J4" s="5"/>
    </row>
    <row r="5" spans="1:10">
      <c r="A5" t="s">
        <v>358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5"/>
      <c r="J5" s="5"/>
    </row>
    <row r="6" spans="1:10">
      <c r="A6" t="s">
        <v>359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/>
      <c r="J6" s="5"/>
    </row>
    <row r="7" spans="1:10">
      <c r="A7" t="s">
        <v>360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5"/>
      <c r="J7" s="5"/>
    </row>
    <row r="8" spans="1:10">
      <c r="A8" t="s">
        <v>361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5"/>
      <c r="J8" s="5"/>
    </row>
    <row r="9" spans="1:10">
      <c r="A9" t="s">
        <v>362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5"/>
      <c r="J9" s="5"/>
    </row>
    <row r="10" spans="1:10">
      <c r="A10" t="s">
        <v>363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/>
      <c r="J10" s="5"/>
    </row>
    <row r="11" spans="1:10">
      <c r="A11" t="s">
        <v>364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/>
      <c r="J11" s="5"/>
    </row>
    <row r="12" spans="1:10">
      <c r="A12" t="s">
        <v>365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/>
      <c r="J12" s="5"/>
    </row>
    <row r="13" spans="1:10">
      <c r="A13" t="s">
        <v>366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/>
      <c r="J13" s="5"/>
    </row>
    <row r="14" spans="1:10">
      <c r="A14" t="s">
        <v>367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/>
      <c r="J14" s="5"/>
    </row>
    <row r="15" spans="1:10">
      <c r="A15" t="s">
        <v>368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/>
      <c r="J15" s="5"/>
    </row>
    <row r="16" spans="1:10">
      <c r="A16" t="s">
        <v>369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/>
      <c r="J16" s="5"/>
    </row>
    <row r="17" spans="1:10">
      <c r="A17" t="s">
        <v>370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/>
      <c r="J17" s="5"/>
    </row>
    <row r="18" spans="1:10">
      <c r="A18" t="s">
        <v>371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5"/>
      <c r="J18" s="5"/>
    </row>
    <row r="19" spans="1:10">
      <c r="A19" t="s">
        <v>372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/>
      <c r="J19" s="5"/>
    </row>
    <row r="20" spans="1:10">
      <c r="A20" t="s">
        <v>373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/>
      <c r="J20" s="5"/>
    </row>
    <row r="21" spans="1:10">
      <c r="A21" t="s">
        <v>374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/>
      <c r="J21" s="5"/>
    </row>
    <row r="22" spans="1:10">
      <c r="A22" t="s">
        <v>375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5"/>
      <c r="J22" s="5"/>
    </row>
    <row r="23" spans="1:10">
      <c r="A23" t="s">
        <v>376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/>
      <c r="J23" s="5"/>
    </row>
    <row r="24" spans="1:10">
      <c r="A24" t="s">
        <v>377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5"/>
      <c r="J24" s="5"/>
    </row>
    <row r="25" spans="1:10">
      <c r="A25" t="s">
        <v>378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/>
      <c r="J25" s="5"/>
    </row>
    <row r="26" spans="1:10">
      <c r="A26" t="s">
        <v>379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5"/>
      <c r="J26" s="5"/>
    </row>
    <row r="27" spans="1:10">
      <c r="A27" t="s">
        <v>380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/>
      <c r="J27" s="5"/>
    </row>
    <row r="28" spans="1:10">
      <c r="A28" t="s">
        <v>381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5"/>
      <c r="J28" s="5"/>
    </row>
    <row r="29" spans="1:10">
      <c r="A29" t="s">
        <v>382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/>
      <c r="J29" s="5"/>
    </row>
    <row r="30" spans="1:10">
      <c r="A30" t="s">
        <v>383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/>
      <c r="J30" s="5"/>
    </row>
    <row r="31" spans="1:10">
      <c r="A31" t="s">
        <v>384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5"/>
      <c r="J31" s="5"/>
    </row>
    <row r="32" spans="1:10">
      <c r="A32" t="s">
        <v>385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5"/>
      <c r="J32" s="5"/>
    </row>
    <row r="33" spans="1:10">
      <c r="A33" t="s">
        <v>386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/>
      <c r="J33" s="5"/>
    </row>
    <row r="34" spans="1:10">
      <c r="A34" t="s">
        <v>387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5"/>
      <c r="J34" s="5"/>
    </row>
    <row r="35" spans="1:10">
      <c r="A35" t="s">
        <v>388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/>
      <c r="J35" s="5"/>
    </row>
    <row r="36" spans="1:10">
      <c r="A36" t="s">
        <v>389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5"/>
      <c r="J36" s="5"/>
    </row>
    <row r="37" spans="1:10">
      <c r="A37" t="s">
        <v>0</v>
      </c>
      <c r="B37" s="4">
        <v>5.2500758568607049</v>
      </c>
      <c r="C37" s="4">
        <v>7.0681466360324503</v>
      </c>
      <c r="D37" s="4">
        <v>6.7824945557922574</v>
      </c>
      <c r="E37" s="4">
        <v>6.4096866789737028</v>
      </c>
      <c r="F37" s="4">
        <v>4.6973428967942068</v>
      </c>
      <c r="G37" s="4">
        <v>6.373438720336785</v>
      </c>
      <c r="H37" s="4">
        <v>0</v>
      </c>
      <c r="I37" s="5"/>
      <c r="J37" s="5"/>
    </row>
    <row r="38" spans="1:10">
      <c r="A38" t="s">
        <v>1</v>
      </c>
      <c r="B38" s="4">
        <v>5.2500758568607049</v>
      </c>
      <c r="C38" s="4">
        <v>7.0681466360324503</v>
      </c>
      <c r="D38" s="4">
        <v>6.7824945557922574</v>
      </c>
      <c r="E38" s="4">
        <v>6.4096866789737028</v>
      </c>
      <c r="F38" s="4">
        <v>4.6973428967942068</v>
      </c>
      <c r="G38" s="4">
        <v>6.373438720336785</v>
      </c>
      <c r="H38" s="4">
        <v>0</v>
      </c>
      <c r="I38" s="5"/>
      <c r="J38" s="5"/>
    </row>
    <row r="39" spans="1:10">
      <c r="A39" t="s">
        <v>2</v>
      </c>
      <c r="B39" s="4">
        <v>8.9059991256058115</v>
      </c>
      <c r="C39" s="4">
        <v>11.379944826621825</v>
      </c>
      <c r="D39" s="4">
        <v>12.107474324063197</v>
      </c>
      <c r="E39" s="4">
        <v>10.431181747366196</v>
      </c>
      <c r="F39" s="4">
        <v>8.9574629463927717</v>
      </c>
      <c r="G39" s="4">
        <v>9.6422195232562942</v>
      </c>
      <c r="H39" s="4">
        <v>0</v>
      </c>
      <c r="I39" s="5"/>
      <c r="J39" s="5"/>
    </row>
    <row r="40" spans="1:10">
      <c r="A40" t="s">
        <v>3</v>
      </c>
      <c r="B40" s="4">
        <v>8.9059991256058115</v>
      </c>
      <c r="C40" s="4">
        <v>11.379944826621825</v>
      </c>
      <c r="D40" s="4">
        <v>12.107474324063197</v>
      </c>
      <c r="E40" s="4">
        <v>10.431181747366196</v>
      </c>
      <c r="F40" s="4">
        <v>8.9574629463927717</v>
      </c>
      <c r="G40" s="4">
        <v>9.6422195232562942</v>
      </c>
      <c r="H40" s="4">
        <v>0</v>
      </c>
      <c r="I40" s="5"/>
      <c r="J40" s="5"/>
    </row>
    <row r="41" spans="1:10">
      <c r="A41" t="s">
        <v>4</v>
      </c>
      <c r="B41" s="4">
        <v>9.8306076267128599</v>
      </c>
      <c r="C41" s="4">
        <v>12.054735524883823</v>
      </c>
      <c r="D41" s="4">
        <v>11.919873410817882</v>
      </c>
      <c r="E41" s="4">
        <v>11.268421334983746</v>
      </c>
      <c r="F41" s="4">
        <v>10.078547169971342</v>
      </c>
      <c r="G41" s="4">
        <v>11.07829477140085</v>
      </c>
      <c r="H41" s="4">
        <v>0</v>
      </c>
      <c r="I41" s="5"/>
      <c r="J41" s="5"/>
    </row>
    <row r="42" spans="1:10">
      <c r="A42" t="s">
        <v>5</v>
      </c>
      <c r="B42" s="4">
        <v>9.8306076267128599</v>
      </c>
      <c r="C42" s="4">
        <v>12.054735524883823</v>
      </c>
      <c r="D42" s="4">
        <v>11.919873410817882</v>
      </c>
      <c r="E42" s="4">
        <v>11.268421334983746</v>
      </c>
      <c r="F42" s="4">
        <v>10.078547169971342</v>
      </c>
      <c r="G42" s="4">
        <v>11.07829477140085</v>
      </c>
      <c r="H42" s="4">
        <v>0</v>
      </c>
      <c r="I42" s="5"/>
      <c r="J42" s="5"/>
    </row>
    <row r="43" spans="1:10">
      <c r="A43" t="s">
        <v>6</v>
      </c>
      <c r="B43" s="4">
        <v>10.149438144335983</v>
      </c>
      <c r="C43" s="4">
        <v>12.352100917338264</v>
      </c>
      <c r="D43" s="4">
        <v>13.088771408731017</v>
      </c>
      <c r="E43" s="4">
        <v>11.570376596091716</v>
      </c>
      <c r="F43" s="4">
        <v>10.459715805988058</v>
      </c>
      <c r="G43" s="4">
        <v>11.803170849035725</v>
      </c>
      <c r="H43" s="4">
        <v>0</v>
      </c>
      <c r="I43" s="5"/>
      <c r="J43" s="5"/>
    </row>
    <row r="44" spans="1:10">
      <c r="A44" t="s">
        <v>7</v>
      </c>
      <c r="B44" s="4">
        <v>10.149438144335983</v>
      </c>
      <c r="C44" s="4">
        <v>12.352100917338264</v>
      </c>
      <c r="D44" s="4">
        <v>13.088771408731017</v>
      </c>
      <c r="E44" s="4">
        <v>11.570376596091716</v>
      </c>
      <c r="F44" s="4">
        <v>10.459715805988058</v>
      </c>
      <c r="G44" s="4">
        <v>11.803170849035725</v>
      </c>
      <c r="H44" s="4">
        <v>0</v>
      </c>
      <c r="I44" s="5"/>
      <c r="J44" s="5"/>
    </row>
    <row r="45" spans="1:10">
      <c r="A45" t="s">
        <v>8</v>
      </c>
      <c r="B45" s="4">
        <v>11.137812748967651</v>
      </c>
      <c r="C45" s="4">
        <v>12.695214831708769</v>
      </c>
      <c r="D45" s="4">
        <v>12.38166027419097</v>
      </c>
      <c r="E45" s="4">
        <v>11.103718465288489</v>
      </c>
      <c r="F45" s="4">
        <v>10.291553172451273</v>
      </c>
      <c r="G45" s="4">
        <v>12.40495476254392</v>
      </c>
      <c r="H45" s="4">
        <v>5.5006780494969059</v>
      </c>
      <c r="I45" s="5"/>
      <c r="J45" s="5"/>
    </row>
    <row r="46" spans="1:10">
      <c r="A46" t="s">
        <v>9</v>
      </c>
      <c r="B46" s="4">
        <v>11.137812748967651</v>
      </c>
      <c r="C46" s="4">
        <v>12.695214831708769</v>
      </c>
      <c r="D46" s="4">
        <v>12.38166027419097</v>
      </c>
      <c r="E46" s="4">
        <v>11.103718465288489</v>
      </c>
      <c r="F46" s="4">
        <v>10.291553172451273</v>
      </c>
      <c r="G46" s="4">
        <v>12.40495476254392</v>
      </c>
      <c r="H46" s="4">
        <v>5.5006780494969059</v>
      </c>
      <c r="I46" s="5"/>
      <c r="J46" s="5"/>
    </row>
    <row r="47" spans="1:10">
      <c r="A47" t="s">
        <v>10</v>
      </c>
      <c r="B47" s="4">
        <v>10.521407081562954</v>
      </c>
      <c r="C47" s="4">
        <v>12.592280657397618</v>
      </c>
      <c r="D47" s="4">
        <v>11.38593235004274</v>
      </c>
      <c r="E47" s="4">
        <v>10.980191313017048</v>
      </c>
      <c r="F47" s="4">
        <v>10.033703801028198</v>
      </c>
      <c r="G47" s="4">
        <v>11.871555384661654</v>
      </c>
      <c r="H47" s="4">
        <v>4.4574460056268048</v>
      </c>
      <c r="I47" s="5"/>
      <c r="J47" s="5"/>
    </row>
    <row r="48" spans="1:10">
      <c r="A48" t="s">
        <v>11</v>
      </c>
      <c r="B48" s="4">
        <v>10.521407081562954</v>
      </c>
      <c r="C48" s="4">
        <v>12.592280657397618</v>
      </c>
      <c r="D48" s="4">
        <v>11.38593235004274</v>
      </c>
      <c r="E48" s="4">
        <v>10.980191313017048</v>
      </c>
      <c r="F48" s="4">
        <v>10.033703801028198</v>
      </c>
      <c r="G48" s="4">
        <v>11.871555384661654</v>
      </c>
      <c r="H48" s="4">
        <v>4.4574460056268048</v>
      </c>
      <c r="I48" s="5"/>
      <c r="J48" s="5"/>
    </row>
    <row r="49" spans="1:10">
      <c r="A49" t="s">
        <v>12</v>
      </c>
      <c r="B49" s="4">
        <v>10.521407081562954</v>
      </c>
      <c r="C49" s="4">
        <v>11.814555784824467</v>
      </c>
      <c r="D49" s="4">
        <v>11.400363189523151</v>
      </c>
      <c r="E49" s="4">
        <v>10.842938921604334</v>
      </c>
      <c r="F49" s="4">
        <v>8.9014087352138436</v>
      </c>
      <c r="G49" s="4">
        <v>10.449157043642284</v>
      </c>
      <c r="H49" s="4">
        <v>4.5522852823422681</v>
      </c>
      <c r="I49" s="5"/>
      <c r="J49" s="5"/>
    </row>
    <row r="50" spans="1:10">
      <c r="A50" t="s">
        <v>13</v>
      </c>
      <c r="B50" s="4">
        <v>10.521407081562954</v>
      </c>
      <c r="C50" s="4">
        <v>11.814555784824467</v>
      </c>
      <c r="D50" s="4">
        <v>11.400363189523151</v>
      </c>
      <c r="E50" s="4">
        <v>10.842938921604334</v>
      </c>
      <c r="F50" s="4">
        <v>8.9014087352138436</v>
      </c>
      <c r="G50" s="4">
        <v>10.449157043642284</v>
      </c>
      <c r="H50" s="4">
        <v>4.5522852823422681</v>
      </c>
    </row>
    <row r="51" spans="1:10">
      <c r="A51" t="s">
        <v>14</v>
      </c>
      <c r="B51" s="4">
        <v>7.7156985264794988</v>
      </c>
      <c r="C51" s="4">
        <v>8.9095246431541746</v>
      </c>
      <c r="D51" s="4">
        <v>8.8028120830495222</v>
      </c>
      <c r="E51" s="4">
        <v>7.7684853539595631</v>
      </c>
      <c r="F51" s="4">
        <v>6.7152944992356334</v>
      </c>
      <c r="G51" s="4">
        <v>7.4949451046020581</v>
      </c>
      <c r="H51" s="4">
        <v>3.7176996472461856</v>
      </c>
    </row>
    <row r="52" spans="1:10">
      <c r="A52" t="s">
        <v>15</v>
      </c>
      <c r="B52" s="4">
        <v>7.7156985264794988</v>
      </c>
      <c r="C52" s="4">
        <v>8.9095246431541746</v>
      </c>
      <c r="D52" s="4">
        <v>8.8028120830495222</v>
      </c>
      <c r="E52" s="4">
        <v>7.7684853539595631</v>
      </c>
      <c r="F52" s="4">
        <v>6.7152944992356334</v>
      </c>
      <c r="G52" s="4">
        <v>7.4949451046020581</v>
      </c>
      <c r="H52" s="4">
        <v>3.7176996472461856</v>
      </c>
    </row>
    <row r="53" spans="1:10">
      <c r="A53" t="s">
        <v>16</v>
      </c>
      <c r="B53" s="4">
        <v>3.8578492632397494</v>
      </c>
      <c r="C53" s="4">
        <v>4.4947922782536471</v>
      </c>
      <c r="D53" s="4">
        <v>3.9107574991908538</v>
      </c>
      <c r="E53" s="4">
        <v>3.7332650464257968</v>
      </c>
      <c r="F53" s="4">
        <v>3.7668429912239958</v>
      </c>
      <c r="G53" s="4">
        <v>3.7611494594262158</v>
      </c>
      <c r="H53" s="4">
        <v>3.0158889995517528</v>
      </c>
    </row>
    <row r="54" spans="1:10">
      <c r="A54" t="s">
        <v>17</v>
      </c>
      <c r="B54" s="4">
        <v>3.8578492632397494</v>
      </c>
      <c r="C54" s="4">
        <v>4.4947922782536471</v>
      </c>
      <c r="D54" s="4">
        <v>3.9107574991908538</v>
      </c>
      <c r="E54" s="4">
        <v>3.7332650464257968</v>
      </c>
      <c r="F54" s="4">
        <v>3.7668429912239958</v>
      </c>
      <c r="G54" s="4">
        <v>3.7611494594262158</v>
      </c>
      <c r="H54" s="4">
        <v>3.0158889995517528</v>
      </c>
    </row>
    <row r="55" spans="1:10">
      <c r="A55" t="s">
        <v>18</v>
      </c>
      <c r="B55" s="4">
        <v>3.1245390727065745</v>
      </c>
      <c r="C55" s="4">
        <v>3.2824564474778537</v>
      </c>
      <c r="D55" s="4">
        <v>3.2758005620528565</v>
      </c>
      <c r="E55" s="4">
        <v>2.7862235456780766</v>
      </c>
      <c r="F55" s="4">
        <v>2.6009153987022819</v>
      </c>
      <c r="G55" s="4">
        <v>2.735381425037247</v>
      </c>
      <c r="H55" s="4">
        <v>2.1623355091125771</v>
      </c>
    </row>
    <row r="56" spans="1:10">
      <c r="A56" t="s">
        <v>19</v>
      </c>
      <c r="B56" s="4">
        <v>3.1245390727065745</v>
      </c>
      <c r="C56" s="4">
        <v>3.2824564474778537</v>
      </c>
      <c r="D56" s="4">
        <v>3.2758005620528565</v>
      </c>
      <c r="E56" s="4">
        <v>2.7862235456780766</v>
      </c>
      <c r="F56" s="4">
        <v>2.6009153987022819</v>
      </c>
      <c r="G56" s="4">
        <v>2.735381425037247</v>
      </c>
      <c r="H56" s="4">
        <v>2.1623355091125771</v>
      </c>
    </row>
    <row r="57" spans="1:10">
      <c r="A57" t="s">
        <v>20</v>
      </c>
      <c r="B57" s="4">
        <v>3.1776774923104272</v>
      </c>
      <c r="C57" s="4">
        <v>3.4883247961001573</v>
      </c>
      <c r="D57" s="4">
        <v>3.0304762908859022</v>
      </c>
      <c r="E57" s="4">
        <v>2.9234759370907897</v>
      </c>
      <c r="F57" s="4">
        <v>2.5000178185802104</v>
      </c>
      <c r="G57" s="4">
        <v>2.7080276107868748</v>
      </c>
      <c r="H57" s="4">
        <v>2.2951104965142268</v>
      </c>
    </row>
    <row r="58" spans="1:10">
      <c r="A58" t="s">
        <v>21</v>
      </c>
      <c r="B58" s="4">
        <v>3.1776774923104272</v>
      </c>
      <c r="C58" s="4">
        <v>3.4883247961001573</v>
      </c>
      <c r="D58" s="4">
        <v>3.0304762908859022</v>
      </c>
      <c r="E58" s="4">
        <v>2.9234759370907897</v>
      </c>
      <c r="F58" s="4">
        <v>2.5000178185802104</v>
      </c>
      <c r="G58" s="4">
        <v>2.7080276107868748</v>
      </c>
      <c r="H58" s="4">
        <v>2.2951104965142268</v>
      </c>
    </row>
    <row r="59" spans="1:10">
      <c r="A59" t="s">
        <v>22</v>
      </c>
      <c r="B59" s="4">
        <v>3.8365938953982086</v>
      </c>
      <c r="C59" s="4">
        <v>3.44257627418409</v>
      </c>
      <c r="D59" s="4">
        <v>3.6077098701022634</v>
      </c>
      <c r="E59" s="4">
        <v>3.4038593070352858</v>
      </c>
      <c r="F59" s="4">
        <v>2.8475539278895674</v>
      </c>
      <c r="G59" s="4">
        <v>3.2961346171698831</v>
      </c>
      <c r="H59" s="4">
        <v>2.6554997480329896</v>
      </c>
    </row>
    <row r="60" spans="1:10">
      <c r="A60" t="s">
        <v>23</v>
      </c>
      <c r="B60" s="4">
        <v>3.8365938953982086</v>
      </c>
      <c r="C60" s="4">
        <v>3.44257627418409</v>
      </c>
      <c r="D60" s="4">
        <v>3.6077098701022634</v>
      </c>
      <c r="E60" s="4">
        <v>3.4038593070352858</v>
      </c>
      <c r="F60" s="4">
        <v>2.8475539278895674</v>
      </c>
      <c r="G60" s="4">
        <v>3.2961346171698831</v>
      </c>
      <c r="H60" s="4">
        <v>2.6554997480329896</v>
      </c>
    </row>
    <row r="61" spans="1:10">
      <c r="A61" t="s">
        <v>24</v>
      </c>
      <c r="B61" s="4">
        <v>4.7399470286637149</v>
      </c>
      <c r="C61" s="4">
        <v>5.8901221966937092</v>
      </c>
      <c r="D61" s="4">
        <v>4.8199003864566246</v>
      </c>
      <c r="E61" s="4">
        <v>4.7626579820211443</v>
      </c>
      <c r="F61" s="4">
        <v>4.2376983651269944</v>
      </c>
      <c r="G61" s="4">
        <v>4.2808719301832925</v>
      </c>
      <c r="H61" s="4">
        <v>3.5469889491583504</v>
      </c>
    </row>
    <row r="62" spans="1:10">
      <c r="A62" t="s">
        <v>25</v>
      </c>
      <c r="B62" s="4">
        <v>4.7399470286637149</v>
      </c>
      <c r="C62" s="4">
        <v>5.8901221966937092</v>
      </c>
      <c r="D62" s="4">
        <v>4.8199003864566246</v>
      </c>
      <c r="E62" s="4">
        <v>4.7626579820211443</v>
      </c>
      <c r="F62" s="4">
        <v>4.2376983651269944</v>
      </c>
      <c r="G62" s="4">
        <v>4.2808719301832925</v>
      </c>
      <c r="H62" s="4">
        <v>3.5469889491583504</v>
      </c>
    </row>
    <row r="63" spans="1:10">
      <c r="A63" t="s">
        <v>26</v>
      </c>
      <c r="B63" s="4">
        <v>6.8761114967386172</v>
      </c>
      <c r="C63" s="4">
        <v>7.7658115952524831</v>
      </c>
      <c r="D63" s="4">
        <v>7.1288347033220747</v>
      </c>
      <c r="E63" s="4">
        <v>6.8488943314943862</v>
      </c>
      <c r="F63" s="4">
        <v>5.751162066958063</v>
      </c>
      <c r="G63" s="4">
        <v>5.2382554289463288</v>
      </c>
      <c r="H63" s="4">
        <v>3.2435032636688659</v>
      </c>
      <c r="J63" s="4"/>
    </row>
    <row r="64" spans="1:10">
      <c r="A64" t="s">
        <v>27</v>
      </c>
      <c r="B64" s="4">
        <v>6.8761114967386172</v>
      </c>
      <c r="C64" s="4">
        <v>7.7658115952524831</v>
      </c>
      <c r="D64" s="4">
        <v>7.1288347033220747</v>
      </c>
      <c r="E64" s="4">
        <v>6.8488943314943862</v>
      </c>
      <c r="F64" s="4">
        <v>5.751162066958063</v>
      </c>
      <c r="G64" s="4">
        <v>5.2382554289463288</v>
      </c>
      <c r="H64" s="4">
        <v>3.2435032636688659</v>
      </c>
    </row>
    <row r="65" spans="1:8">
      <c r="A65" t="s">
        <v>28</v>
      </c>
      <c r="B65" s="4">
        <v>9.1823189075458505</v>
      </c>
      <c r="C65" s="4">
        <v>10.510722910216542</v>
      </c>
      <c r="D65" s="4">
        <v>10.390204425894522</v>
      </c>
      <c r="E65" s="4">
        <v>8.2763192021866026</v>
      </c>
      <c r="F65" s="4">
        <v>8.1502823054162032</v>
      </c>
      <c r="G65" s="4">
        <v>6.8658073768434917</v>
      </c>
      <c r="H65" s="4">
        <v>3.6987317919030929</v>
      </c>
    </row>
    <row r="66" spans="1:8">
      <c r="A66" t="s">
        <v>29</v>
      </c>
      <c r="B66" s="4">
        <v>9.1823189075458505</v>
      </c>
      <c r="C66" s="4">
        <v>10.510722910216542</v>
      </c>
      <c r="D66" s="4">
        <v>10.390204425894522</v>
      </c>
      <c r="E66" s="4">
        <v>8.2763192021866026</v>
      </c>
      <c r="F66" s="4">
        <v>8.1502823054162032</v>
      </c>
      <c r="G66" s="4">
        <v>6.8658073768434917</v>
      </c>
      <c r="H66" s="4">
        <v>3.6987317919030929</v>
      </c>
    </row>
    <row r="67" spans="1:8">
      <c r="A67" t="s">
        <v>30</v>
      </c>
      <c r="B67" s="4">
        <v>11.042163593680717</v>
      </c>
      <c r="C67" s="4">
        <v>11.379944826621825</v>
      </c>
      <c r="D67" s="4">
        <v>11.342639831601518</v>
      </c>
      <c r="E67" s="4">
        <v>10.417456508224925</v>
      </c>
      <c r="F67" s="4">
        <v>9.4507400047673418</v>
      </c>
      <c r="G67" s="4">
        <v>8.1924673679865574</v>
      </c>
      <c r="H67" s="4">
        <v>3.1107282762672162</v>
      </c>
    </row>
    <row r="68" spans="1:8">
      <c r="A68" t="s">
        <v>31</v>
      </c>
      <c r="B68" s="4">
        <v>11.042163593680717</v>
      </c>
      <c r="C68" s="4">
        <v>11.379944826621825</v>
      </c>
      <c r="D68" s="4">
        <v>11.342639831601518</v>
      </c>
      <c r="E68" s="4">
        <v>10.417456508224925</v>
      </c>
      <c r="F68" s="4">
        <v>9.4507400047673418</v>
      </c>
      <c r="G68" s="4">
        <v>8.1924673679865574</v>
      </c>
      <c r="H68" s="4">
        <v>3.1107282762672162</v>
      </c>
    </row>
    <row r="69" spans="1:8">
      <c r="A69" t="s">
        <v>32</v>
      </c>
      <c r="B69" s="4">
        <v>11.552292421877707</v>
      </c>
      <c r="C69" s="4">
        <v>11.654435958118231</v>
      </c>
      <c r="D69" s="4">
        <v>11.328208992121107</v>
      </c>
      <c r="E69" s="4">
        <v>10.760587486756707</v>
      </c>
      <c r="F69" s="4">
        <v>9.7982761140766961</v>
      </c>
      <c r="G69" s="4">
        <v>8.0283444824843233</v>
      </c>
      <c r="H69" s="4">
        <v>4.4384781502837107</v>
      </c>
    </row>
    <row r="70" spans="1:8">
      <c r="A70" t="s">
        <v>33</v>
      </c>
      <c r="B70" s="4">
        <v>11.552292421877707</v>
      </c>
      <c r="C70" s="4">
        <v>11.654435958118231</v>
      </c>
      <c r="D70" s="4">
        <v>11.328208992121107</v>
      </c>
      <c r="E70" s="4">
        <v>10.760587486756707</v>
      </c>
      <c r="F70" s="4">
        <v>9.7982761140766961</v>
      </c>
      <c r="G70" s="4">
        <v>8.0283444824843233</v>
      </c>
      <c r="H70" s="4">
        <v>4.4384781502837107</v>
      </c>
    </row>
    <row r="71" spans="1:8">
      <c r="A71" t="s">
        <v>34</v>
      </c>
      <c r="B71" s="4">
        <v>11.807356835976204</v>
      </c>
      <c r="C71" s="4">
        <v>13.370005529970769</v>
      </c>
      <c r="D71" s="4">
        <v>12.22292103990647</v>
      </c>
      <c r="E71" s="4">
        <v>11.007641791299593</v>
      </c>
      <c r="F71" s="4">
        <v>9.7646435873693438</v>
      </c>
      <c r="G71" s="4">
        <v>7.823190875606528</v>
      </c>
      <c r="H71" s="4">
        <v>4.3246710182251542</v>
      </c>
    </row>
    <row r="72" spans="1:8">
      <c r="A72" t="s">
        <v>35</v>
      </c>
      <c r="B72" s="4">
        <v>11.807356835976204</v>
      </c>
      <c r="C72" s="4">
        <v>13.370005529970769</v>
      </c>
      <c r="D72" s="4">
        <v>12.22292103990647</v>
      </c>
      <c r="E72" s="4">
        <v>11.007641791299593</v>
      </c>
      <c r="F72" s="4">
        <v>9.7646435873693438</v>
      </c>
      <c r="G72" s="4">
        <v>7.823190875606528</v>
      </c>
      <c r="H72" s="4">
        <v>4.3246710182251542</v>
      </c>
    </row>
    <row r="73" spans="1:8">
      <c r="A73" t="s">
        <v>36</v>
      </c>
      <c r="B73" s="4">
        <v>10.861492967027615</v>
      </c>
      <c r="C73" s="4">
        <v>12.3749751782963</v>
      </c>
      <c r="D73" s="4">
        <v>11.775565016013791</v>
      </c>
      <c r="E73" s="4">
        <v>10.897839878169423</v>
      </c>
      <c r="F73" s="4">
        <v>8.5090292569613446</v>
      </c>
      <c r="G73" s="4">
        <v>6.9478688195946061</v>
      </c>
      <c r="H73" s="4">
        <v>3.7176996472461856</v>
      </c>
    </row>
    <row r="74" spans="1:8">
      <c r="A74" t="s">
        <v>37</v>
      </c>
      <c r="B74" s="4">
        <v>10.861492967027615</v>
      </c>
      <c r="C74" s="4">
        <v>12.3749751782963</v>
      </c>
      <c r="D74" s="4">
        <v>11.775565016013791</v>
      </c>
      <c r="E74" s="4">
        <v>10.897839878169423</v>
      </c>
      <c r="F74" s="4">
        <v>8.5090292569613446</v>
      </c>
      <c r="G74" s="4">
        <v>6.9478688195946061</v>
      </c>
      <c r="H74" s="4">
        <v>3.7176996472461856</v>
      </c>
    </row>
    <row r="75" spans="1:8">
      <c r="A75" t="s">
        <v>38</v>
      </c>
      <c r="B75" s="4">
        <v>9.1929465914666242</v>
      </c>
      <c r="C75" s="4">
        <v>11.128327956083453</v>
      </c>
      <c r="D75" s="4">
        <v>10.505651141737792</v>
      </c>
      <c r="E75" s="4">
        <v>8.9900316375327094</v>
      </c>
      <c r="F75" s="4">
        <v>8.4978184147255575</v>
      </c>
      <c r="G75" s="4">
        <v>6.4691770702130897</v>
      </c>
      <c r="H75" s="4">
        <v>3.3573103957274224</v>
      </c>
    </row>
    <row r="76" spans="1:8">
      <c r="A76" t="s">
        <v>39</v>
      </c>
      <c r="B76" s="4">
        <v>9.1929465914666242</v>
      </c>
      <c r="C76" s="4">
        <v>11.128327956083453</v>
      </c>
      <c r="D76" s="4">
        <v>10.505651141737792</v>
      </c>
      <c r="E76" s="4">
        <v>8.9900316375327094</v>
      </c>
      <c r="F76" s="4">
        <v>8.4978184147255575</v>
      </c>
      <c r="G76" s="4">
        <v>6.4691770702130897</v>
      </c>
      <c r="H76" s="4">
        <v>3.3573103957274224</v>
      </c>
    </row>
    <row r="77" spans="1:8">
      <c r="A77" t="s">
        <v>40</v>
      </c>
      <c r="B77" s="4">
        <v>6.6954408700855161</v>
      </c>
      <c r="C77" s="4">
        <v>7.4455719418400079</v>
      </c>
      <c r="D77" s="4">
        <v>7.3164356165673912</v>
      </c>
      <c r="E77" s="4">
        <v>6.286159526702261</v>
      </c>
      <c r="F77" s="4">
        <v>5.7063186980149201</v>
      </c>
      <c r="G77" s="4">
        <v>4.3766102800595972</v>
      </c>
      <c r="H77" s="4">
        <v>2.3709819178865978</v>
      </c>
    </row>
    <row r="78" spans="1:8">
      <c r="A78" t="s">
        <v>41</v>
      </c>
      <c r="B78" s="4">
        <v>6.6954408700855161</v>
      </c>
      <c r="C78" s="4">
        <v>7.4455719418400079</v>
      </c>
      <c r="D78" s="4">
        <v>7.3164356165673912</v>
      </c>
      <c r="E78" s="4">
        <v>6.286159526702261</v>
      </c>
      <c r="F78" s="4">
        <v>5.7063186980149201</v>
      </c>
      <c r="G78" s="4">
        <v>4.3766102800595972</v>
      </c>
      <c r="H78" s="4">
        <v>2.3709819178865978</v>
      </c>
    </row>
    <row r="79" spans="1:8">
      <c r="A79" t="s">
        <v>42</v>
      </c>
      <c r="B79" s="4">
        <v>3.8365938953982086</v>
      </c>
      <c r="C79" s="4">
        <v>4.449043756337578</v>
      </c>
      <c r="D79" s="4">
        <v>3.9540500176320812</v>
      </c>
      <c r="E79" s="4">
        <v>3.7332650464257968</v>
      </c>
      <c r="F79" s="4">
        <v>3.307198459556782</v>
      </c>
      <c r="G79" s="4">
        <v>2.7627352392876197</v>
      </c>
      <c r="H79" s="4">
        <v>2</v>
      </c>
    </row>
    <row r="80" spans="1:8">
      <c r="A80" t="s">
        <v>43</v>
      </c>
      <c r="B80" s="4">
        <v>3.8365938953982086</v>
      </c>
      <c r="C80" s="4">
        <v>4.449043756337578</v>
      </c>
      <c r="D80" s="4">
        <v>3.9540500176320812</v>
      </c>
      <c r="E80" s="4">
        <v>3.7332650464257968</v>
      </c>
      <c r="F80" s="4">
        <v>3.307198459556782</v>
      </c>
      <c r="G80" s="4">
        <v>2.7627352392876197</v>
      </c>
      <c r="H80" s="4">
        <v>2</v>
      </c>
    </row>
    <row r="81" spans="1:8">
      <c r="A81" t="s">
        <v>44</v>
      </c>
      <c r="B81" s="4">
        <v>2</v>
      </c>
      <c r="C81" s="4">
        <v>2</v>
      </c>
      <c r="D81" s="4">
        <v>2</v>
      </c>
      <c r="E81" s="4">
        <v>2</v>
      </c>
      <c r="F81" s="4">
        <v>2</v>
      </c>
      <c r="G81" s="4">
        <v>2</v>
      </c>
      <c r="H81" s="4">
        <v>2</v>
      </c>
    </row>
    <row r="82" spans="1:8">
      <c r="A82" t="s">
        <v>45</v>
      </c>
      <c r="B82" s="4">
        <v>2</v>
      </c>
      <c r="C82" s="4">
        <v>2</v>
      </c>
      <c r="D82" s="4">
        <v>2</v>
      </c>
      <c r="E82" s="4">
        <v>2</v>
      </c>
      <c r="F82" s="4">
        <v>2</v>
      </c>
      <c r="G82" s="4">
        <v>2</v>
      </c>
      <c r="H82" s="4">
        <v>2</v>
      </c>
    </row>
    <row r="83" spans="1:8">
      <c r="A83" t="s">
        <v>46</v>
      </c>
      <c r="B83" s="4">
        <v>2</v>
      </c>
      <c r="C83" s="4">
        <v>2</v>
      </c>
      <c r="D83" s="4">
        <v>2</v>
      </c>
      <c r="E83" s="4">
        <v>2</v>
      </c>
      <c r="F83" s="4">
        <v>2</v>
      </c>
      <c r="G83" s="4">
        <v>2</v>
      </c>
      <c r="H83" s="4">
        <v>2</v>
      </c>
    </row>
    <row r="84" spans="1:8">
      <c r="A84" t="s">
        <v>47</v>
      </c>
      <c r="B84" s="4">
        <v>2</v>
      </c>
      <c r="C84" s="4">
        <v>2</v>
      </c>
      <c r="D84" s="4">
        <v>2</v>
      </c>
      <c r="E84" s="4">
        <v>2</v>
      </c>
      <c r="F84" s="4">
        <v>2</v>
      </c>
      <c r="G84" s="4">
        <v>2</v>
      </c>
      <c r="H84" s="4">
        <v>2</v>
      </c>
    </row>
    <row r="85" spans="1:8">
      <c r="A85" t="s">
        <v>390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391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392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393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394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395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396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397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398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399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400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401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C2EB-E331-4448-B8BE-B3808311BA27}">
  <dimension ref="A1:J96"/>
  <sheetViews>
    <sheetView topLeftCell="A40" zoomScale="70" zoomScaleNormal="70" workbookViewId="0">
      <selection activeCell="B37" sqref="B37:F84"/>
    </sheetView>
  </sheetViews>
  <sheetFormatPr defaultRowHeight="15"/>
  <cols>
    <col min="1" max="1" width="11.85546875" customWidth="1"/>
    <col min="2" max="6" width="9" style="3" customWidth="1"/>
    <col min="7" max="8" width="9.140625" style="3"/>
  </cols>
  <sheetData>
    <row r="1" spans="1:10">
      <c r="A1" t="s">
        <v>48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</row>
    <row r="2" spans="1:10">
      <c r="A2" t="s">
        <v>355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/>
      <c r="J2" s="5"/>
    </row>
    <row r="3" spans="1:10">
      <c r="A3" t="s">
        <v>356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5"/>
      <c r="J3" s="5"/>
    </row>
    <row r="4" spans="1:10">
      <c r="A4" t="s">
        <v>357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5"/>
      <c r="J4" s="5"/>
    </row>
    <row r="5" spans="1:10">
      <c r="A5" t="s">
        <v>358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5"/>
      <c r="J5" s="5"/>
    </row>
    <row r="6" spans="1:10">
      <c r="A6" t="s">
        <v>359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/>
      <c r="J6" s="5"/>
    </row>
    <row r="7" spans="1:10">
      <c r="A7" t="s">
        <v>360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5"/>
      <c r="J7" s="5"/>
    </row>
    <row r="8" spans="1:10">
      <c r="A8" t="s">
        <v>361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5"/>
      <c r="J8" s="5"/>
    </row>
    <row r="9" spans="1:10">
      <c r="A9" t="s">
        <v>362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5"/>
      <c r="J9" s="5"/>
    </row>
    <row r="10" spans="1:10">
      <c r="A10" t="s">
        <v>363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/>
      <c r="J10" s="5"/>
    </row>
    <row r="11" spans="1:10">
      <c r="A11" t="s">
        <v>364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/>
      <c r="J11" s="5"/>
    </row>
    <row r="12" spans="1:10">
      <c r="A12" t="s">
        <v>365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/>
      <c r="J12" s="5"/>
    </row>
    <row r="13" spans="1:10">
      <c r="A13" t="s">
        <v>366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/>
      <c r="J13" s="5"/>
    </row>
    <row r="14" spans="1:10">
      <c r="A14" t="s">
        <v>367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/>
      <c r="J14" s="5"/>
    </row>
    <row r="15" spans="1:10">
      <c r="A15" t="s">
        <v>368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/>
      <c r="J15" s="5"/>
    </row>
    <row r="16" spans="1:10">
      <c r="A16" t="s">
        <v>369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/>
      <c r="J16" s="5"/>
    </row>
    <row r="17" spans="1:10">
      <c r="A17" t="s">
        <v>370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/>
      <c r="J17" s="5"/>
    </row>
    <row r="18" spans="1:10">
      <c r="A18" t="s">
        <v>371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5"/>
      <c r="J18" s="5"/>
    </row>
    <row r="19" spans="1:10">
      <c r="A19" t="s">
        <v>372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/>
      <c r="J19" s="5"/>
    </row>
    <row r="20" spans="1:10">
      <c r="A20" t="s">
        <v>373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/>
      <c r="J20" s="5"/>
    </row>
    <row r="21" spans="1:10">
      <c r="A21" t="s">
        <v>374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/>
      <c r="J21" s="5"/>
    </row>
    <row r="22" spans="1:10">
      <c r="A22" t="s">
        <v>375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5"/>
      <c r="J22" s="5"/>
    </row>
    <row r="23" spans="1:10">
      <c r="A23" t="s">
        <v>376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/>
      <c r="J23" s="5"/>
    </row>
    <row r="24" spans="1:10">
      <c r="A24" t="s">
        <v>377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5"/>
      <c r="J24" s="5"/>
    </row>
    <row r="25" spans="1:10">
      <c r="A25" t="s">
        <v>378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/>
      <c r="J25" s="5"/>
    </row>
    <row r="26" spans="1:10">
      <c r="A26" t="s">
        <v>379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5"/>
      <c r="J26" s="5"/>
    </row>
    <row r="27" spans="1:10">
      <c r="A27" t="s">
        <v>380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/>
      <c r="J27" s="5"/>
    </row>
    <row r="28" spans="1:10">
      <c r="A28" t="s">
        <v>381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5"/>
      <c r="J28" s="5"/>
    </row>
    <row r="29" spans="1:10">
      <c r="A29" t="s">
        <v>382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/>
      <c r="J29" s="5"/>
    </row>
    <row r="30" spans="1:10">
      <c r="A30" t="s">
        <v>383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/>
      <c r="J30" s="5"/>
    </row>
    <row r="31" spans="1:10">
      <c r="A31" t="s">
        <v>384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5"/>
      <c r="J31" s="5"/>
    </row>
    <row r="32" spans="1:10">
      <c r="A32" t="s">
        <v>385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5"/>
      <c r="J32" s="5"/>
    </row>
    <row r="33" spans="1:10">
      <c r="A33" t="s">
        <v>386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/>
      <c r="J33" s="5"/>
    </row>
    <row r="34" spans="1:10">
      <c r="A34" t="s">
        <v>387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5"/>
      <c r="J34" s="5"/>
    </row>
    <row r="35" spans="1:10">
      <c r="A35" t="s">
        <v>388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/>
      <c r="J35" s="5"/>
    </row>
    <row r="36" spans="1:10">
      <c r="A36" t="s">
        <v>389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5"/>
      <c r="J36" s="5"/>
    </row>
    <row r="37" spans="1:10">
      <c r="A37" t="s">
        <v>0</v>
      </c>
      <c r="B37" s="4">
        <v>2</v>
      </c>
      <c r="C37" s="4">
        <v>2</v>
      </c>
      <c r="D37" s="4">
        <v>2</v>
      </c>
      <c r="E37" s="4">
        <v>2</v>
      </c>
      <c r="F37" s="4">
        <v>2</v>
      </c>
      <c r="G37" s="4">
        <v>0</v>
      </c>
      <c r="H37" s="4">
        <v>0</v>
      </c>
      <c r="I37" s="5"/>
      <c r="J37" s="5"/>
    </row>
    <row r="38" spans="1:10">
      <c r="A38" t="s">
        <v>1</v>
      </c>
      <c r="B38" s="4">
        <v>2</v>
      </c>
      <c r="C38" s="4">
        <v>2</v>
      </c>
      <c r="D38" s="4">
        <v>2</v>
      </c>
      <c r="E38" s="4">
        <v>2</v>
      </c>
      <c r="F38" s="4">
        <v>2</v>
      </c>
      <c r="G38" s="4">
        <v>0</v>
      </c>
      <c r="H38" s="4">
        <v>0</v>
      </c>
      <c r="I38" s="5"/>
      <c r="J38" s="5"/>
    </row>
    <row r="39" spans="1:10">
      <c r="A39" t="s">
        <v>2</v>
      </c>
      <c r="B39" s="4">
        <v>4</v>
      </c>
      <c r="C39" s="4">
        <v>4</v>
      </c>
      <c r="D39" s="4">
        <v>4</v>
      </c>
      <c r="E39" s="4">
        <v>4</v>
      </c>
      <c r="F39" s="4">
        <v>4</v>
      </c>
      <c r="G39" s="4">
        <v>0</v>
      </c>
      <c r="H39" s="4">
        <v>0</v>
      </c>
      <c r="I39" s="5"/>
      <c r="J39" s="5"/>
    </row>
    <row r="40" spans="1:10">
      <c r="A40" t="s">
        <v>3</v>
      </c>
      <c r="B40" s="4">
        <v>4</v>
      </c>
      <c r="C40" s="4">
        <v>4</v>
      </c>
      <c r="D40" s="4">
        <v>4</v>
      </c>
      <c r="E40" s="4">
        <v>4</v>
      </c>
      <c r="F40" s="4">
        <v>4</v>
      </c>
      <c r="G40" s="4">
        <v>0</v>
      </c>
      <c r="H40" s="4">
        <v>0</v>
      </c>
      <c r="I40" s="5"/>
      <c r="J40" s="5"/>
    </row>
    <row r="41" spans="1:10">
      <c r="A41" t="s">
        <v>4</v>
      </c>
      <c r="B41" s="4">
        <v>8</v>
      </c>
      <c r="C41" s="4">
        <v>8</v>
      </c>
      <c r="D41" s="4">
        <v>8</v>
      </c>
      <c r="E41" s="4">
        <v>8</v>
      </c>
      <c r="F41" s="4">
        <v>8</v>
      </c>
      <c r="G41" s="4">
        <v>5</v>
      </c>
      <c r="H41" s="4">
        <v>0</v>
      </c>
      <c r="I41" s="5"/>
      <c r="J41" s="5"/>
    </row>
    <row r="42" spans="1:10">
      <c r="A42" t="s">
        <v>5</v>
      </c>
      <c r="B42" s="4">
        <v>8</v>
      </c>
      <c r="C42" s="4">
        <v>8</v>
      </c>
      <c r="D42" s="4">
        <v>8</v>
      </c>
      <c r="E42" s="4">
        <v>8</v>
      </c>
      <c r="F42" s="4">
        <v>8</v>
      </c>
      <c r="G42" s="4">
        <v>5</v>
      </c>
      <c r="H42" s="4">
        <v>0</v>
      </c>
      <c r="I42" s="5"/>
      <c r="J42" s="5"/>
    </row>
    <row r="43" spans="1:10">
      <c r="A43" t="s">
        <v>6</v>
      </c>
      <c r="B43" s="4">
        <v>5</v>
      </c>
      <c r="C43" s="4">
        <v>5</v>
      </c>
      <c r="D43" s="4">
        <v>5</v>
      </c>
      <c r="E43" s="4">
        <v>5</v>
      </c>
      <c r="F43" s="4">
        <v>5</v>
      </c>
      <c r="G43" s="4">
        <v>5</v>
      </c>
      <c r="H43" s="4">
        <v>0</v>
      </c>
      <c r="I43" s="5"/>
      <c r="J43" s="5"/>
    </row>
    <row r="44" spans="1:10">
      <c r="A44" t="s">
        <v>7</v>
      </c>
      <c r="B44" s="4">
        <v>6</v>
      </c>
      <c r="C44" s="4">
        <v>8</v>
      </c>
      <c r="D44" s="4">
        <v>6</v>
      </c>
      <c r="E44" s="4">
        <v>6</v>
      </c>
      <c r="F44" s="4">
        <v>8</v>
      </c>
      <c r="G44" s="4">
        <v>5</v>
      </c>
      <c r="H44" s="4">
        <v>0</v>
      </c>
      <c r="I44" s="5"/>
      <c r="J44" s="5"/>
    </row>
    <row r="45" spans="1:10">
      <c r="A45" t="s">
        <v>8</v>
      </c>
      <c r="B45" s="4">
        <v>10</v>
      </c>
      <c r="C45" s="4">
        <v>10</v>
      </c>
      <c r="D45" s="4">
        <v>12</v>
      </c>
      <c r="E45" s="4">
        <v>10</v>
      </c>
      <c r="F45" s="4">
        <v>10</v>
      </c>
      <c r="G45" s="4">
        <v>5</v>
      </c>
      <c r="H45" s="4">
        <v>0</v>
      </c>
      <c r="I45" s="5"/>
      <c r="J45" s="5"/>
    </row>
    <row r="46" spans="1:10">
      <c r="A46" t="s">
        <v>9</v>
      </c>
      <c r="B46" s="4">
        <v>12</v>
      </c>
      <c r="C46" s="4">
        <v>10</v>
      </c>
      <c r="D46" s="4">
        <v>10</v>
      </c>
      <c r="E46" s="4">
        <v>12</v>
      </c>
      <c r="F46" s="4">
        <v>10</v>
      </c>
      <c r="G46" s="4">
        <v>5</v>
      </c>
      <c r="H46" s="4">
        <v>0</v>
      </c>
      <c r="I46" s="5"/>
      <c r="J46" s="5"/>
    </row>
    <row r="47" spans="1:10">
      <c r="A47" t="s">
        <v>10</v>
      </c>
      <c r="B47" s="4">
        <v>9</v>
      </c>
      <c r="C47" s="4">
        <v>9</v>
      </c>
      <c r="D47" s="4">
        <v>9</v>
      </c>
      <c r="E47" s="4">
        <v>9</v>
      </c>
      <c r="F47" s="4">
        <v>9</v>
      </c>
      <c r="G47" s="4">
        <v>5</v>
      </c>
      <c r="H47" s="4">
        <v>0</v>
      </c>
      <c r="I47" s="5"/>
      <c r="J47" s="5"/>
    </row>
    <row r="48" spans="1:10">
      <c r="A48" t="s">
        <v>11</v>
      </c>
      <c r="B48" s="4">
        <v>9</v>
      </c>
      <c r="C48" s="4">
        <v>9</v>
      </c>
      <c r="D48" s="4">
        <v>9</v>
      </c>
      <c r="E48" s="4">
        <v>9</v>
      </c>
      <c r="F48" s="4">
        <v>9</v>
      </c>
      <c r="G48" s="4">
        <v>5</v>
      </c>
      <c r="H48" s="4">
        <v>0</v>
      </c>
      <c r="I48" s="5"/>
      <c r="J48" s="5"/>
    </row>
    <row r="49" spans="1:10">
      <c r="A49" t="s">
        <v>12</v>
      </c>
      <c r="B49" s="4">
        <v>4</v>
      </c>
      <c r="C49" s="4">
        <v>4</v>
      </c>
      <c r="D49" s="4">
        <v>4</v>
      </c>
      <c r="E49" s="4">
        <v>4</v>
      </c>
      <c r="F49" s="4">
        <v>4</v>
      </c>
      <c r="G49" s="4">
        <v>7</v>
      </c>
      <c r="H49" s="4">
        <v>0</v>
      </c>
      <c r="I49" s="5"/>
      <c r="J49" s="5"/>
    </row>
    <row r="50" spans="1:10">
      <c r="A50" t="s">
        <v>13</v>
      </c>
      <c r="B50" s="4">
        <v>4</v>
      </c>
      <c r="C50" s="4">
        <v>4</v>
      </c>
      <c r="D50" s="4">
        <v>4</v>
      </c>
      <c r="E50" s="4">
        <v>4</v>
      </c>
      <c r="F50" s="4">
        <v>4</v>
      </c>
      <c r="G50" s="4">
        <v>7</v>
      </c>
      <c r="H50" s="4">
        <v>0</v>
      </c>
    </row>
    <row r="51" spans="1:10">
      <c r="A51" t="s">
        <v>14</v>
      </c>
      <c r="B51" s="4">
        <v>4</v>
      </c>
      <c r="C51" s="4">
        <v>4</v>
      </c>
      <c r="D51" s="4">
        <v>4</v>
      </c>
      <c r="E51" s="4">
        <v>4</v>
      </c>
      <c r="F51" s="4">
        <v>4</v>
      </c>
      <c r="G51" s="4">
        <v>7</v>
      </c>
      <c r="H51" s="4">
        <v>0</v>
      </c>
    </row>
    <row r="52" spans="1:10">
      <c r="A52" t="s">
        <v>15</v>
      </c>
      <c r="B52" s="4">
        <v>4</v>
      </c>
      <c r="C52" s="4">
        <v>4</v>
      </c>
      <c r="D52" s="4">
        <v>4</v>
      </c>
      <c r="E52" s="4">
        <v>4</v>
      </c>
      <c r="F52" s="4">
        <v>4</v>
      </c>
      <c r="G52" s="4">
        <v>7</v>
      </c>
      <c r="H52" s="4">
        <v>0</v>
      </c>
    </row>
    <row r="53" spans="1:10">
      <c r="A53" t="s">
        <v>16</v>
      </c>
      <c r="B53" s="4">
        <v>13</v>
      </c>
      <c r="C53" s="4">
        <v>14</v>
      </c>
      <c r="D53" s="4">
        <v>13</v>
      </c>
      <c r="E53" s="4">
        <v>13</v>
      </c>
      <c r="F53" s="4">
        <v>14</v>
      </c>
      <c r="G53" s="4">
        <v>7</v>
      </c>
      <c r="H53" s="4">
        <v>0</v>
      </c>
    </row>
    <row r="54" spans="1:10">
      <c r="A54" t="s">
        <v>17</v>
      </c>
      <c r="B54" s="4">
        <v>13</v>
      </c>
      <c r="C54" s="4">
        <v>13</v>
      </c>
      <c r="D54" s="4">
        <v>14</v>
      </c>
      <c r="E54" s="4">
        <v>13</v>
      </c>
      <c r="F54" s="4">
        <v>13</v>
      </c>
      <c r="G54" s="4">
        <v>7</v>
      </c>
      <c r="H54" s="4">
        <v>0</v>
      </c>
    </row>
    <row r="55" spans="1:10">
      <c r="A55" t="s">
        <v>18</v>
      </c>
      <c r="B55" s="4">
        <v>13</v>
      </c>
      <c r="C55" s="4">
        <v>12</v>
      </c>
      <c r="D55" s="4">
        <v>12</v>
      </c>
      <c r="E55" s="4">
        <v>13</v>
      </c>
      <c r="F55" s="4">
        <v>12</v>
      </c>
      <c r="G55" s="4">
        <v>7</v>
      </c>
      <c r="H55" s="4">
        <v>0</v>
      </c>
    </row>
    <row r="56" spans="1:10">
      <c r="A56" t="s">
        <v>19</v>
      </c>
      <c r="B56" s="4">
        <v>13</v>
      </c>
      <c r="C56" s="4">
        <v>11</v>
      </c>
      <c r="D56" s="4">
        <v>14</v>
      </c>
      <c r="E56" s="4">
        <v>13</v>
      </c>
      <c r="F56" s="4">
        <v>11</v>
      </c>
      <c r="G56" s="4">
        <v>7</v>
      </c>
      <c r="H56" s="4">
        <v>0</v>
      </c>
    </row>
    <row r="57" spans="1:10">
      <c r="A57" t="s">
        <v>20</v>
      </c>
      <c r="B57" s="4">
        <v>9</v>
      </c>
      <c r="C57" s="4">
        <v>8</v>
      </c>
      <c r="D57" s="4">
        <v>6</v>
      </c>
      <c r="E57" s="4">
        <v>9</v>
      </c>
      <c r="F57" s="4">
        <v>8</v>
      </c>
      <c r="G57" s="4">
        <v>5</v>
      </c>
      <c r="H57" s="4">
        <v>0</v>
      </c>
    </row>
    <row r="58" spans="1:10">
      <c r="A58" t="s">
        <v>21</v>
      </c>
      <c r="B58" s="4">
        <v>6</v>
      </c>
      <c r="C58" s="4">
        <v>9</v>
      </c>
      <c r="D58" s="4">
        <v>8</v>
      </c>
      <c r="E58" s="4">
        <v>6</v>
      </c>
      <c r="F58" s="4">
        <v>9</v>
      </c>
      <c r="G58" s="4">
        <v>5</v>
      </c>
      <c r="H58" s="4">
        <v>0</v>
      </c>
    </row>
    <row r="59" spans="1:10">
      <c r="A59" t="s">
        <v>22</v>
      </c>
      <c r="B59" s="4">
        <v>4</v>
      </c>
      <c r="C59" s="4">
        <v>4</v>
      </c>
      <c r="D59" s="4">
        <v>4</v>
      </c>
      <c r="E59" s="4">
        <v>4</v>
      </c>
      <c r="F59" s="4">
        <v>4</v>
      </c>
      <c r="G59" s="4">
        <v>5</v>
      </c>
      <c r="H59" s="4">
        <v>0</v>
      </c>
    </row>
    <row r="60" spans="1:10">
      <c r="A60" t="s">
        <v>23</v>
      </c>
      <c r="B60" s="4">
        <v>4</v>
      </c>
      <c r="C60" s="4">
        <v>4</v>
      </c>
      <c r="D60" s="4">
        <v>4</v>
      </c>
      <c r="E60" s="4">
        <v>4</v>
      </c>
      <c r="F60" s="4">
        <v>4</v>
      </c>
      <c r="G60" s="4">
        <v>5</v>
      </c>
      <c r="H60" s="4">
        <v>0</v>
      </c>
    </row>
    <row r="61" spans="1:10">
      <c r="A61" t="s">
        <v>24</v>
      </c>
      <c r="B61" s="4">
        <v>7</v>
      </c>
      <c r="C61" s="4">
        <v>7</v>
      </c>
      <c r="D61" s="4">
        <v>7</v>
      </c>
      <c r="E61" s="4">
        <v>7</v>
      </c>
      <c r="F61" s="4">
        <v>7</v>
      </c>
      <c r="G61" s="4">
        <v>5</v>
      </c>
      <c r="H61" s="4">
        <v>0</v>
      </c>
    </row>
    <row r="62" spans="1:10">
      <c r="A62" t="s">
        <v>25</v>
      </c>
      <c r="B62" s="4">
        <v>7</v>
      </c>
      <c r="C62" s="4">
        <v>8</v>
      </c>
      <c r="D62" s="4">
        <v>7</v>
      </c>
      <c r="E62" s="4">
        <v>7</v>
      </c>
      <c r="F62" s="4">
        <v>8</v>
      </c>
      <c r="G62" s="4">
        <v>5</v>
      </c>
      <c r="H62" s="4">
        <v>0</v>
      </c>
    </row>
    <row r="63" spans="1:10">
      <c r="A63" t="s">
        <v>26</v>
      </c>
      <c r="B63" s="4">
        <v>5</v>
      </c>
      <c r="C63" s="4">
        <v>5</v>
      </c>
      <c r="D63" s="4">
        <v>6</v>
      </c>
      <c r="E63" s="4">
        <v>5</v>
      </c>
      <c r="F63" s="4">
        <v>5</v>
      </c>
      <c r="G63" s="4">
        <v>5</v>
      </c>
      <c r="H63" s="4">
        <v>0</v>
      </c>
      <c r="J63" s="4"/>
    </row>
    <row r="64" spans="1:10">
      <c r="A64" t="s">
        <v>27</v>
      </c>
      <c r="B64" s="4">
        <v>6</v>
      </c>
      <c r="C64" s="4">
        <v>5</v>
      </c>
      <c r="D64" s="4">
        <v>5</v>
      </c>
      <c r="E64" s="4">
        <v>6</v>
      </c>
      <c r="F64" s="4">
        <v>5</v>
      </c>
      <c r="G64" s="4">
        <v>5</v>
      </c>
      <c r="H64" s="4">
        <v>0</v>
      </c>
    </row>
    <row r="65" spans="1:8">
      <c r="A65" t="s">
        <v>28</v>
      </c>
      <c r="B65" s="4">
        <v>7</v>
      </c>
      <c r="C65" s="4">
        <v>5</v>
      </c>
      <c r="D65" s="4">
        <v>8</v>
      </c>
      <c r="E65" s="4">
        <v>7</v>
      </c>
      <c r="F65" s="4">
        <v>5</v>
      </c>
      <c r="G65" s="4">
        <v>7</v>
      </c>
      <c r="H65" s="4">
        <v>0</v>
      </c>
    </row>
    <row r="66" spans="1:8">
      <c r="A66" t="s">
        <v>29</v>
      </c>
      <c r="B66" s="4">
        <v>8</v>
      </c>
      <c r="C66" s="4">
        <v>7</v>
      </c>
      <c r="D66" s="4">
        <v>5</v>
      </c>
      <c r="E66" s="4">
        <v>8</v>
      </c>
      <c r="F66" s="4">
        <v>7</v>
      </c>
      <c r="G66" s="4">
        <v>7</v>
      </c>
      <c r="H66" s="4">
        <v>0</v>
      </c>
    </row>
    <row r="67" spans="1:8">
      <c r="A67" t="s">
        <v>30</v>
      </c>
      <c r="B67" s="4">
        <v>5</v>
      </c>
      <c r="C67" s="4">
        <v>8</v>
      </c>
      <c r="D67" s="4">
        <v>7</v>
      </c>
      <c r="E67" s="4">
        <v>5</v>
      </c>
      <c r="F67" s="4">
        <v>8</v>
      </c>
      <c r="G67" s="4">
        <v>7</v>
      </c>
      <c r="H67" s="4">
        <v>0</v>
      </c>
    </row>
    <row r="68" spans="1:8">
      <c r="A68" t="s">
        <v>31</v>
      </c>
      <c r="B68" s="4">
        <v>6</v>
      </c>
      <c r="C68" s="4">
        <v>5</v>
      </c>
      <c r="D68" s="4">
        <v>5</v>
      </c>
      <c r="E68" s="4">
        <v>6</v>
      </c>
      <c r="F68" s="4">
        <v>5</v>
      </c>
      <c r="G68" s="4">
        <v>7</v>
      </c>
      <c r="H68" s="4">
        <v>0</v>
      </c>
    </row>
    <row r="69" spans="1:8">
      <c r="A69" t="s">
        <v>32</v>
      </c>
      <c r="B69" s="4">
        <v>1</v>
      </c>
      <c r="C69" s="4">
        <v>2</v>
      </c>
      <c r="D69" s="4">
        <v>1</v>
      </c>
      <c r="E69" s="4">
        <v>1</v>
      </c>
      <c r="F69" s="4">
        <v>2</v>
      </c>
      <c r="G69" s="4">
        <v>5</v>
      </c>
      <c r="H69" s="4">
        <v>0</v>
      </c>
    </row>
    <row r="70" spans="1:8">
      <c r="A70" t="s">
        <v>33</v>
      </c>
      <c r="B70" s="4">
        <v>1</v>
      </c>
      <c r="C70" s="4">
        <v>1</v>
      </c>
      <c r="D70" s="4">
        <v>2</v>
      </c>
      <c r="E70" s="4">
        <v>1</v>
      </c>
      <c r="F70" s="4">
        <v>1</v>
      </c>
      <c r="G70" s="4">
        <v>5</v>
      </c>
      <c r="H70" s="4">
        <v>0</v>
      </c>
    </row>
    <row r="71" spans="1:8">
      <c r="A71" t="s">
        <v>34</v>
      </c>
      <c r="B71" s="4">
        <v>2</v>
      </c>
      <c r="C71" s="4">
        <v>2</v>
      </c>
      <c r="D71" s="4">
        <v>2</v>
      </c>
      <c r="E71" s="4">
        <v>2</v>
      </c>
      <c r="F71" s="4">
        <v>2</v>
      </c>
      <c r="G71" s="4">
        <v>5</v>
      </c>
      <c r="H71" s="4">
        <v>0</v>
      </c>
    </row>
    <row r="72" spans="1:8">
      <c r="A72" t="s">
        <v>35</v>
      </c>
      <c r="B72" s="4">
        <v>2</v>
      </c>
      <c r="C72" s="4">
        <v>3</v>
      </c>
      <c r="D72" s="4">
        <v>2</v>
      </c>
      <c r="E72" s="4">
        <v>2</v>
      </c>
      <c r="F72" s="4">
        <v>3</v>
      </c>
      <c r="G72" s="4">
        <v>5</v>
      </c>
      <c r="H72" s="4">
        <v>0</v>
      </c>
    </row>
    <row r="73" spans="1:8">
      <c r="A73" t="s">
        <v>36</v>
      </c>
      <c r="B73" s="4">
        <v>7</v>
      </c>
      <c r="C73" s="4">
        <v>7</v>
      </c>
      <c r="D73" s="4">
        <v>8</v>
      </c>
      <c r="E73" s="4">
        <v>7</v>
      </c>
      <c r="F73" s="4">
        <v>7</v>
      </c>
      <c r="G73" s="4">
        <v>5</v>
      </c>
      <c r="H73" s="4">
        <v>0</v>
      </c>
    </row>
    <row r="74" spans="1:8">
      <c r="A74" t="s">
        <v>37</v>
      </c>
      <c r="B74" s="4">
        <v>8</v>
      </c>
      <c r="C74" s="4">
        <v>7</v>
      </c>
      <c r="D74" s="4">
        <v>7</v>
      </c>
      <c r="E74" s="4">
        <v>8</v>
      </c>
      <c r="F74" s="4">
        <v>7</v>
      </c>
      <c r="G74" s="4">
        <v>5</v>
      </c>
      <c r="H74" s="4">
        <v>0</v>
      </c>
    </row>
    <row r="75" spans="1:8">
      <c r="A75" t="s">
        <v>38</v>
      </c>
      <c r="B75" s="4">
        <v>6</v>
      </c>
      <c r="C75" s="4">
        <v>6</v>
      </c>
      <c r="D75" s="4">
        <v>6</v>
      </c>
      <c r="E75" s="4">
        <v>6</v>
      </c>
      <c r="F75" s="4">
        <v>6</v>
      </c>
      <c r="G75" s="4">
        <v>5</v>
      </c>
      <c r="H75" s="4">
        <v>0</v>
      </c>
    </row>
    <row r="76" spans="1:8">
      <c r="A76" t="s">
        <v>39</v>
      </c>
      <c r="B76" s="4">
        <v>6</v>
      </c>
      <c r="C76" s="4">
        <v>6</v>
      </c>
      <c r="D76" s="4">
        <v>6</v>
      </c>
      <c r="E76" s="4">
        <v>6</v>
      </c>
      <c r="F76" s="4">
        <v>6</v>
      </c>
      <c r="G76" s="4">
        <v>5</v>
      </c>
      <c r="H76" s="4">
        <v>0</v>
      </c>
    </row>
    <row r="77" spans="1:8">
      <c r="A77" t="s">
        <v>40</v>
      </c>
      <c r="B77" s="4">
        <v>4</v>
      </c>
      <c r="C77" s="4">
        <v>3</v>
      </c>
      <c r="D77" s="4">
        <v>3</v>
      </c>
      <c r="E77" s="4">
        <v>4</v>
      </c>
      <c r="F77" s="4">
        <v>3</v>
      </c>
      <c r="G77" s="4">
        <v>0</v>
      </c>
      <c r="H77" s="4">
        <v>0</v>
      </c>
    </row>
    <row r="78" spans="1:8">
      <c r="A78" t="s">
        <v>41</v>
      </c>
      <c r="B78" s="4">
        <v>3</v>
      </c>
      <c r="C78" s="4">
        <v>4</v>
      </c>
      <c r="D78" s="4">
        <v>3</v>
      </c>
      <c r="E78" s="4">
        <v>3</v>
      </c>
      <c r="F78" s="4">
        <v>4</v>
      </c>
      <c r="G78" s="4">
        <v>0</v>
      </c>
      <c r="H78" s="4">
        <v>0</v>
      </c>
    </row>
    <row r="79" spans="1:8">
      <c r="A79" t="s">
        <v>42</v>
      </c>
      <c r="B79" s="4">
        <v>4</v>
      </c>
      <c r="C79" s="4">
        <v>4</v>
      </c>
      <c r="D79" s="4">
        <v>5</v>
      </c>
      <c r="E79" s="4">
        <v>4</v>
      </c>
      <c r="F79" s="4">
        <v>4</v>
      </c>
      <c r="G79" s="4">
        <v>0</v>
      </c>
      <c r="H79" s="4">
        <v>0</v>
      </c>
    </row>
    <row r="80" spans="1:8">
      <c r="A80" t="s">
        <v>43</v>
      </c>
      <c r="B80" s="4">
        <v>4</v>
      </c>
      <c r="C80" s="4">
        <v>4</v>
      </c>
      <c r="D80" s="4">
        <v>4</v>
      </c>
      <c r="E80" s="4">
        <v>4</v>
      </c>
      <c r="F80" s="4">
        <v>4</v>
      </c>
      <c r="G80" s="4">
        <v>0</v>
      </c>
      <c r="H80" s="4">
        <v>0</v>
      </c>
    </row>
    <row r="81" spans="1:8">
      <c r="A81" t="s">
        <v>44</v>
      </c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0</v>
      </c>
      <c r="H81" s="4">
        <v>0</v>
      </c>
    </row>
    <row r="82" spans="1:8">
      <c r="A82" t="s">
        <v>45</v>
      </c>
      <c r="B82" s="4">
        <v>1</v>
      </c>
      <c r="C82" s="4">
        <v>1</v>
      </c>
      <c r="D82" s="4">
        <v>1</v>
      </c>
      <c r="E82" s="4">
        <v>1</v>
      </c>
      <c r="F82" s="4">
        <v>1</v>
      </c>
      <c r="G82" s="4">
        <v>0</v>
      </c>
      <c r="H82" s="4">
        <v>0</v>
      </c>
    </row>
    <row r="83" spans="1:8">
      <c r="A83" t="s">
        <v>46</v>
      </c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0</v>
      </c>
      <c r="H83" s="4">
        <v>0</v>
      </c>
    </row>
    <row r="84" spans="1:8">
      <c r="A84" t="s">
        <v>47</v>
      </c>
      <c r="B84" s="4">
        <v>1</v>
      </c>
      <c r="C84" s="4">
        <v>1</v>
      </c>
      <c r="D84" s="4">
        <v>1</v>
      </c>
      <c r="E84" s="4">
        <v>1</v>
      </c>
      <c r="F84" s="4">
        <v>1</v>
      </c>
      <c r="G84" s="4">
        <v>0</v>
      </c>
      <c r="H84" s="4">
        <v>0</v>
      </c>
    </row>
    <row r="85" spans="1:8">
      <c r="A85" t="s">
        <v>390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391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392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393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394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395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396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397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398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399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400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401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8E9A-C749-400F-AB18-A3E483CFA7C1}">
  <sheetPr codeName="Foglio12"/>
  <dimension ref="A1:J96"/>
  <sheetViews>
    <sheetView zoomScale="70" zoomScaleNormal="70" workbookViewId="0">
      <selection activeCell="K46" sqref="K46"/>
    </sheetView>
  </sheetViews>
  <sheetFormatPr defaultRowHeight="15"/>
  <cols>
    <col min="1" max="1" width="11.85546875" customWidth="1"/>
    <col min="2" max="6" width="9.140625" style="3" customWidth="1"/>
    <col min="7" max="8" width="9.140625" style="3"/>
  </cols>
  <sheetData>
    <row r="1" spans="1:10">
      <c r="A1" t="s">
        <v>48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</row>
    <row r="2" spans="1:10">
      <c r="A2" t="s">
        <v>355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/>
      <c r="J2" s="5"/>
    </row>
    <row r="3" spans="1:10">
      <c r="A3" t="s">
        <v>356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5"/>
      <c r="J3" s="5"/>
    </row>
    <row r="4" spans="1:10">
      <c r="A4" t="s">
        <v>357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5"/>
      <c r="J4" s="5"/>
    </row>
    <row r="5" spans="1:10">
      <c r="A5" t="s">
        <v>358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5"/>
      <c r="J5" s="5"/>
    </row>
    <row r="6" spans="1:10">
      <c r="A6" t="s">
        <v>359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/>
      <c r="J6" s="5"/>
    </row>
    <row r="7" spans="1:10">
      <c r="A7" t="s">
        <v>360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5"/>
      <c r="J7" s="5"/>
    </row>
    <row r="8" spans="1:10">
      <c r="A8" t="s">
        <v>361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5"/>
      <c r="J8" s="5"/>
    </row>
    <row r="9" spans="1:10">
      <c r="A9" t="s">
        <v>362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5"/>
      <c r="J9" s="5"/>
    </row>
    <row r="10" spans="1:10">
      <c r="A10" t="s">
        <v>363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/>
      <c r="J10" s="5"/>
    </row>
    <row r="11" spans="1:10">
      <c r="A11" t="s">
        <v>364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/>
      <c r="J11" s="5"/>
    </row>
    <row r="12" spans="1:10">
      <c r="A12" t="s">
        <v>365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/>
      <c r="J12" s="5"/>
    </row>
    <row r="13" spans="1:10">
      <c r="A13" t="s">
        <v>366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/>
      <c r="J13" s="5"/>
    </row>
    <row r="14" spans="1:10">
      <c r="A14" t="s">
        <v>367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/>
      <c r="J14" s="5"/>
    </row>
    <row r="15" spans="1:10">
      <c r="A15" t="s">
        <v>368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/>
      <c r="J15" s="5"/>
    </row>
    <row r="16" spans="1:10">
      <c r="A16" t="s">
        <v>369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/>
      <c r="J16" s="5"/>
    </row>
    <row r="17" spans="1:10">
      <c r="A17" t="s">
        <v>370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/>
      <c r="J17" s="5"/>
    </row>
    <row r="18" spans="1:10">
      <c r="A18" t="s">
        <v>371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5"/>
      <c r="J18" s="5"/>
    </row>
    <row r="19" spans="1:10">
      <c r="A19" t="s">
        <v>372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/>
      <c r="J19" s="5"/>
    </row>
    <row r="20" spans="1:10">
      <c r="A20" t="s">
        <v>373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/>
      <c r="J20" s="5"/>
    </row>
    <row r="21" spans="1:10">
      <c r="A21" t="s">
        <v>374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/>
      <c r="J21" s="5"/>
    </row>
    <row r="22" spans="1:10">
      <c r="A22" t="s">
        <v>375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5"/>
      <c r="J22" s="5"/>
    </row>
    <row r="23" spans="1:10">
      <c r="A23" t="s">
        <v>376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/>
      <c r="J23" s="5"/>
    </row>
    <row r="24" spans="1:10">
      <c r="A24" t="s">
        <v>377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5"/>
      <c r="J24" s="5"/>
    </row>
    <row r="25" spans="1:10">
      <c r="A25" t="s">
        <v>378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/>
      <c r="J25" s="5"/>
    </row>
    <row r="26" spans="1:10">
      <c r="A26" t="s">
        <v>379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5"/>
      <c r="J26" s="5"/>
    </row>
    <row r="27" spans="1:10">
      <c r="A27" t="s">
        <v>380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/>
      <c r="J27" s="5"/>
    </row>
    <row r="28" spans="1:10">
      <c r="A28" t="s">
        <v>381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5"/>
      <c r="J28" s="5"/>
    </row>
    <row r="29" spans="1:10">
      <c r="A29" t="s">
        <v>382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/>
      <c r="J29" s="5"/>
    </row>
    <row r="30" spans="1:10">
      <c r="A30" t="s">
        <v>383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/>
      <c r="J30" s="5"/>
    </row>
    <row r="31" spans="1:10">
      <c r="A31" t="s">
        <v>384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5"/>
      <c r="J31" s="5"/>
    </row>
    <row r="32" spans="1:10">
      <c r="A32" t="s">
        <v>385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5"/>
      <c r="J32" s="5"/>
    </row>
    <row r="33" spans="1:10">
      <c r="A33" t="s">
        <v>386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/>
      <c r="J33" s="5"/>
    </row>
    <row r="34" spans="1:10">
      <c r="A34" t="s">
        <v>387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5"/>
      <c r="J34" s="5"/>
    </row>
    <row r="35" spans="1:10">
      <c r="A35" t="s">
        <v>388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/>
      <c r="J35" s="5"/>
    </row>
    <row r="36" spans="1:10">
      <c r="A36" t="s">
        <v>389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5"/>
      <c r="J36" s="5"/>
    </row>
    <row r="37" spans="1:10">
      <c r="A37" t="s">
        <v>0</v>
      </c>
      <c r="B37" s="4">
        <v>6</v>
      </c>
      <c r="C37" s="4">
        <v>6</v>
      </c>
      <c r="D37" s="4">
        <v>6</v>
      </c>
      <c r="E37" s="4">
        <v>6</v>
      </c>
      <c r="F37" s="4">
        <v>6</v>
      </c>
      <c r="G37" s="4">
        <v>1</v>
      </c>
      <c r="H37" s="4">
        <v>0</v>
      </c>
      <c r="I37" s="5"/>
      <c r="J37" s="5"/>
    </row>
    <row r="38" spans="1:10">
      <c r="A38" t="s">
        <v>1</v>
      </c>
      <c r="B38" s="4">
        <v>6</v>
      </c>
      <c r="C38" s="4">
        <v>6</v>
      </c>
      <c r="D38" s="4">
        <v>6</v>
      </c>
      <c r="E38" s="4">
        <v>6</v>
      </c>
      <c r="F38" s="4">
        <v>6</v>
      </c>
      <c r="G38" s="4">
        <v>1</v>
      </c>
      <c r="H38" s="4">
        <v>0</v>
      </c>
      <c r="I38" s="5"/>
      <c r="J38" s="5"/>
    </row>
    <row r="39" spans="1:10">
      <c r="A39" t="s">
        <v>2</v>
      </c>
      <c r="B39" s="4">
        <v>6</v>
      </c>
      <c r="C39" s="4">
        <v>6</v>
      </c>
      <c r="D39" s="4">
        <v>6</v>
      </c>
      <c r="E39" s="4">
        <v>6</v>
      </c>
      <c r="F39" s="4">
        <v>6</v>
      </c>
      <c r="G39" s="4">
        <v>1</v>
      </c>
      <c r="H39" s="4">
        <v>0</v>
      </c>
      <c r="I39" s="5"/>
      <c r="J39" s="5"/>
    </row>
    <row r="40" spans="1:10">
      <c r="A40" t="s">
        <v>3</v>
      </c>
      <c r="B40" s="4">
        <v>6</v>
      </c>
      <c r="C40" s="4">
        <v>6</v>
      </c>
      <c r="D40" s="4">
        <v>6</v>
      </c>
      <c r="E40" s="4">
        <v>6</v>
      </c>
      <c r="F40" s="4">
        <v>6</v>
      </c>
      <c r="G40" s="4">
        <v>1</v>
      </c>
      <c r="H40" s="4">
        <v>0</v>
      </c>
      <c r="I40" s="5"/>
      <c r="J40" s="5"/>
    </row>
    <row r="41" spans="1:10">
      <c r="A41" t="s">
        <v>4</v>
      </c>
      <c r="B41" s="4">
        <v>6</v>
      </c>
      <c r="C41" s="4">
        <v>6</v>
      </c>
      <c r="D41" s="4">
        <v>6</v>
      </c>
      <c r="E41" s="4">
        <v>6</v>
      </c>
      <c r="F41" s="4">
        <v>6</v>
      </c>
      <c r="G41" s="4">
        <v>1</v>
      </c>
      <c r="H41" s="4">
        <v>0</v>
      </c>
      <c r="I41" s="5"/>
      <c r="J41" s="5"/>
    </row>
    <row r="42" spans="1:10">
      <c r="A42" t="s">
        <v>5</v>
      </c>
      <c r="B42" s="4">
        <v>6</v>
      </c>
      <c r="C42" s="4">
        <v>6</v>
      </c>
      <c r="D42" s="4">
        <v>6</v>
      </c>
      <c r="E42" s="4">
        <v>6</v>
      </c>
      <c r="F42" s="4">
        <v>6</v>
      </c>
      <c r="G42" s="4">
        <v>1</v>
      </c>
      <c r="H42" s="4">
        <v>0</v>
      </c>
      <c r="I42" s="5"/>
      <c r="J42" s="5"/>
    </row>
    <row r="43" spans="1:10">
      <c r="A43" t="s">
        <v>6</v>
      </c>
      <c r="B43" s="4">
        <v>6</v>
      </c>
      <c r="C43" s="4">
        <v>6</v>
      </c>
      <c r="D43" s="4">
        <v>6</v>
      </c>
      <c r="E43" s="4">
        <v>6</v>
      </c>
      <c r="F43" s="4">
        <v>6</v>
      </c>
      <c r="G43" s="4">
        <v>1</v>
      </c>
      <c r="H43" s="4">
        <v>0</v>
      </c>
      <c r="I43" s="5"/>
      <c r="J43" s="5"/>
    </row>
    <row r="44" spans="1:10">
      <c r="A44" t="s">
        <v>7</v>
      </c>
      <c r="B44" s="4">
        <v>6</v>
      </c>
      <c r="C44" s="4">
        <v>6</v>
      </c>
      <c r="D44" s="4">
        <v>6</v>
      </c>
      <c r="E44" s="4">
        <v>6</v>
      </c>
      <c r="F44" s="4">
        <v>6</v>
      </c>
      <c r="G44" s="4">
        <v>1</v>
      </c>
      <c r="H44" s="4">
        <v>0</v>
      </c>
      <c r="I44" s="5"/>
      <c r="J44" s="5"/>
    </row>
    <row r="45" spans="1:10">
      <c r="A45" t="s">
        <v>8</v>
      </c>
      <c r="B45" s="4">
        <v>6</v>
      </c>
      <c r="C45" s="4">
        <v>6</v>
      </c>
      <c r="D45" s="4">
        <v>6</v>
      </c>
      <c r="E45" s="4">
        <v>6</v>
      </c>
      <c r="F45" s="4">
        <v>6</v>
      </c>
      <c r="G45" s="4">
        <v>1</v>
      </c>
      <c r="H45" s="4">
        <v>0</v>
      </c>
      <c r="I45" s="5"/>
      <c r="J45" s="5"/>
    </row>
    <row r="46" spans="1:10">
      <c r="A46" t="s">
        <v>9</v>
      </c>
      <c r="B46" s="4">
        <v>6</v>
      </c>
      <c r="C46" s="4">
        <v>6</v>
      </c>
      <c r="D46" s="4">
        <v>6</v>
      </c>
      <c r="E46" s="4">
        <v>6</v>
      </c>
      <c r="F46" s="4">
        <v>6</v>
      </c>
      <c r="G46" s="4">
        <v>1</v>
      </c>
      <c r="H46" s="4">
        <v>0</v>
      </c>
      <c r="I46" s="5"/>
      <c r="J46" s="5"/>
    </row>
    <row r="47" spans="1:10">
      <c r="A47" t="s">
        <v>10</v>
      </c>
      <c r="B47" s="4">
        <v>6</v>
      </c>
      <c r="C47" s="4">
        <v>6</v>
      </c>
      <c r="D47" s="4">
        <v>6</v>
      </c>
      <c r="E47" s="4">
        <v>6</v>
      </c>
      <c r="F47" s="4">
        <v>6</v>
      </c>
      <c r="G47" s="4">
        <v>1</v>
      </c>
      <c r="H47" s="4">
        <v>0</v>
      </c>
      <c r="I47" s="5"/>
      <c r="J47" s="5"/>
    </row>
    <row r="48" spans="1:10">
      <c r="A48" t="s">
        <v>11</v>
      </c>
      <c r="B48" s="4">
        <v>6</v>
      </c>
      <c r="C48" s="4">
        <v>6</v>
      </c>
      <c r="D48" s="4">
        <v>6</v>
      </c>
      <c r="E48" s="4">
        <v>6</v>
      </c>
      <c r="F48" s="4">
        <v>6</v>
      </c>
      <c r="G48" s="4">
        <v>1</v>
      </c>
      <c r="H48" s="4">
        <v>0</v>
      </c>
      <c r="I48" s="5"/>
      <c r="J48" s="5"/>
    </row>
    <row r="49" spans="1:10">
      <c r="A49" t="s">
        <v>12</v>
      </c>
      <c r="B49" s="4">
        <v>6</v>
      </c>
      <c r="C49" s="4">
        <v>6</v>
      </c>
      <c r="D49" s="4">
        <v>6</v>
      </c>
      <c r="E49" s="4">
        <v>6</v>
      </c>
      <c r="F49" s="4">
        <v>6</v>
      </c>
      <c r="G49" s="4">
        <v>1</v>
      </c>
      <c r="H49" s="4">
        <v>0</v>
      </c>
      <c r="I49" s="5"/>
      <c r="J49" s="5"/>
    </row>
    <row r="50" spans="1:10">
      <c r="A50" t="s">
        <v>13</v>
      </c>
      <c r="B50" s="4">
        <v>6</v>
      </c>
      <c r="C50" s="4">
        <v>6</v>
      </c>
      <c r="D50" s="4">
        <v>6</v>
      </c>
      <c r="E50" s="4">
        <v>6</v>
      </c>
      <c r="F50" s="4">
        <v>6</v>
      </c>
      <c r="G50" s="4">
        <v>1</v>
      </c>
      <c r="H50" s="4">
        <v>0</v>
      </c>
    </row>
    <row r="51" spans="1:10">
      <c r="A51" t="s">
        <v>14</v>
      </c>
      <c r="B51" s="4">
        <v>6</v>
      </c>
      <c r="C51" s="4">
        <v>6</v>
      </c>
      <c r="D51" s="4">
        <v>6</v>
      </c>
      <c r="E51" s="4">
        <v>6</v>
      </c>
      <c r="F51" s="4">
        <v>6</v>
      </c>
      <c r="G51" s="4">
        <v>1</v>
      </c>
      <c r="H51" s="4">
        <v>0</v>
      </c>
    </row>
    <row r="52" spans="1:10">
      <c r="A52" t="s">
        <v>15</v>
      </c>
      <c r="B52" s="4">
        <v>6</v>
      </c>
      <c r="C52" s="4">
        <v>6</v>
      </c>
      <c r="D52" s="4">
        <v>6</v>
      </c>
      <c r="E52" s="4">
        <v>6</v>
      </c>
      <c r="F52" s="4">
        <v>6</v>
      </c>
      <c r="G52" s="4">
        <v>1</v>
      </c>
      <c r="H52" s="4">
        <v>0</v>
      </c>
    </row>
    <row r="53" spans="1:10">
      <c r="A53" t="s">
        <v>16</v>
      </c>
      <c r="B53" s="4">
        <v>2</v>
      </c>
      <c r="C53" s="4">
        <v>2</v>
      </c>
      <c r="D53" s="4">
        <v>2</v>
      </c>
      <c r="E53" s="4">
        <v>2</v>
      </c>
      <c r="F53" s="4">
        <v>2</v>
      </c>
      <c r="G53" s="4">
        <v>1</v>
      </c>
      <c r="H53" s="4">
        <v>0</v>
      </c>
    </row>
    <row r="54" spans="1:10">
      <c r="A54" t="s">
        <v>17</v>
      </c>
      <c r="B54" s="4">
        <v>2</v>
      </c>
      <c r="C54" s="4">
        <v>2</v>
      </c>
      <c r="D54" s="4">
        <v>2</v>
      </c>
      <c r="E54" s="4">
        <v>2</v>
      </c>
      <c r="F54" s="4">
        <v>2</v>
      </c>
      <c r="G54" s="4">
        <v>1</v>
      </c>
      <c r="H54" s="4">
        <v>0</v>
      </c>
    </row>
    <row r="55" spans="1:10">
      <c r="A55" t="s">
        <v>18</v>
      </c>
      <c r="B55" s="4">
        <v>2</v>
      </c>
      <c r="C55" s="4">
        <v>2</v>
      </c>
      <c r="D55" s="4">
        <v>2</v>
      </c>
      <c r="E55" s="4">
        <v>2</v>
      </c>
      <c r="F55" s="4">
        <v>2</v>
      </c>
      <c r="G55" s="4">
        <v>1</v>
      </c>
      <c r="H55" s="4">
        <v>0</v>
      </c>
    </row>
    <row r="56" spans="1:10">
      <c r="A56" t="s">
        <v>19</v>
      </c>
      <c r="B56" s="4">
        <v>2</v>
      </c>
      <c r="C56" s="4">
        <v>2</v>
      </c>
      <c r="D56" s="4">
        <v>2</v>
      </c>
      <c r="E56" s="4">
        <v>2</v>
      </c>
      <c r="F56" s="4">
        <v>2</v>
      </c>
      <c r="G56" s="4">
        <v>1</v>
      </c>
      <c r="H56" s="4">
        <v>0</v>
      </c>
    </row>
    <row r="57" spans="1:10">
      <c r="A57" t="s">
        <v>20</v>
      </c>
      <c r="B57" s="4">
        <v>2</v>
      </c>
      <c r="C57" s="4">
        <v>2</v>
      </c>
      <c r="D57" s="4">
        <v>2</v>
      </c>
      <c r="E57" s="4">
        <v>2</v>
      </c>
      <c r="F57" s="4">
        <v>2</v>
      </c>
      <c r="G57" s="4">
        <v>1</v>
      </c>
      <c r="H57" s="4">
        <v>0</v>
      </c>
    </row>
    <row r="58" spans="1:10">
      <c r="A58" t="s">
        <v>21</v>
      </c>
      <c r="B58" s="4">
        <v>2</v>
      </c>
      <c r="C58" s="4">
        <v>2</v>
      </c>
      <c r="D58" s="4">
        <v>2</v>
      </c>
      <c r="E58" s="4">
        <v>2</v>
      </c>
      <c r="F58" s="4">
        <v>2</v>
      </c>
      <c r="G58" s="4">
        <v>1</v>
      </c>
      <c r="H58" s="4">
        <v>0</v>
      </c>
    </row>
    <row r="59" spans="1:10">
      <c r="A59" t="s">
        <v>22</v>
      </c>
      <c r="B59" s="4">
        <v>2</v>
      </c>
      <c r="C59" s="4">
        <v>2</v>
      </c>
      <c r="D59" s="4">
        <v>2</v>
      </c>
      <c r="E59" s="4">
        <v>2</v>
      </c>
      <c r="F59" s="4">
        <v>2</v>
      </c>
      <c r="G59" s="4">
        <v>1</v>
      </c>
      <c r="H59" s="4">
        <v>0</v>
      </c>
    </row>
    <row r="60" spans="1:10">
      <c r="A60" t="s">
        <v>23</v>
      </c>
      <c r="B60" s="4">
        <v>2</v>
      </c>
      <c r="C60" s="4">
        <v>2</v>
      </c>
      <c r="D60" s="4">
        <v>2</v>
      </c>
      <c r="E60" s="4">
        <v>2</v>
      </c>
      <c r="F60" s="4">
        <v>2</v>
      </c>
      <c r="G60" s="4">
        <v>1</v>
      </c>
      <c r="H60" s="4">
        <v>0</v>
      </c>
    </row>
    <row r="61" spans="1:10">
      <c r="A61" t="s">
        <v>24</v>
      </c>
      <c r="B61" s="4">
        <v>6</v>
      </c>
      <c r="C61" s="4">
        <v>6</v>
      </c>
      <c r="D61" s="4">
        <v>6</v>
      </c>
      <c r="E61" s="4">
        <v>6</v>
      </c>
      <c r="F61" s="4">
        <v>6</v>
      </c>
      <c r="G61" s="4">
        <v>1</v>
      </c>
      <c r="H61" s="4">
        <v>0</v>
      </c>
    </row>
    <row r="62" spans="1:10">
      <c r="A62" t="s">
        <v>25</v>
      </c>
      <c r="B62" s="4">
        <v>6</v>
      </c>
      <c r="C62" s="4">
        <v>6</v>
      </c>
      <c r="D62" s="4">
        <v>6</v>
      </c>
      <c r="E62" s="4">
        <v>6</v>
      </c>
      <c r="F62" s="4">
        <v>6</v>
      </c>
      <c r="G62" s="4">
        <v>1</v>
      </c>
      <c r="H62" s="4">
        <v>0</v>
      </c>
    </row>
    <row r="63" spans="1:10">
      <c r="A63" t="s">
        <v>26</v>
      </c>
      <c r="B63" s="4">
        <v>6</v>
      </c>
      <c r="C63" s="4">
        <v>6</v>
      </c>
      <c r="D63" s="4">
        <v>6</v>
      </c>
      <c r="E63" s="4">
        <v>6</v>
      </c>
      <c r="F63" s="4">
        <v>6</v>
      </c>
      <c r="G63" s="4">
        <v>1</v>
      </c>
      <c r="H63" s="4">
        <v>0</v>
      </c>
    </row>
    <row r="64" spans="1:10">
      <c r="A64" t="s">
        <v>27</v>
      </c>
      <c r="B64" s="4">
        <v>6</v>
      </c>
      <c r="C64" s="4">
        <v>6</v>
      </c>
      <c r="D64" s="4">
        <v>6</v>
      </c>
      <c r="E64" s="4">
        <v>6</v>
      </c>
      <c r="F64" s="4">
        <v>6</v>
      </c>
      <c r="G64" s="4">
        <v>1</v>
      </c>
      <c r="H64" s="4">
        <v>0</v>
      </c>
    </row>
    <row r="65" spans="1:8">
      <c r="A65" t="s">
        <v>28</v>
      </c>
      <c r="B65" s="4">
        <v>6</v>
      </c>
      <c r="C65" s="4">
        <v>6</v>
      </c>
      <c r="D65" s="4">
        <v>6</v>
      </c>
      <c r="E65" s="4">
        <v>6</v>
      </c>
      <c r="F65" s="4">
        <v>6</v>
      </c>
      <c r="G65" s="4">
        <v>1</v>
      </c>
      <c r="H65" s="4">
        <v>0</v>
      </c>
    </row>
    <row r="66" spans="1:8">
      <c r="A66" t="s">
        <v>29</v>
      </c>
      <c r="B66" s="4">
        <v>6</v>
      </c>
      <c r="C66" s="4">
        <v>6</v>
      </c>
      <c r="D66" s="4">
        <v>6</v>
      </c>
      <c r="E66" s="4">
        <v>6</v>
      </c>
      <c r="F66" s="4">
        <v>6</v>
      </c>
      <c r="G66" s="4">
        <v>1</v>
      </c>
      <c r="H66" s="4">
        <v>0</v>
      </c>
    </row>
    <row r="67" spans="1:8">
      <c r="A67" t="s">
        <v>30</v>
      </c>
      <c r="B67" s="4">
        <v>6</v>
      </c>
      <c r="C67" s="4">
        <v>6</v>
      </c>
      <c r="D67" s="4">
        <v>6</v>
      </c>
      <c r="E67" s="4">
        <v>6</v>
      </c>
      <c r="F67" s="4">
        <v>6</v>
      </c>
      <c r="G67" s="4">
        <v>1</v>
      </c>
      <c r="H67" s="4">
        <v>0</v>
      </c>
    </row>
    <row r="68" spans="1:8">
      <c r="A68" t="s">
        <v>31</v>
      </c>
      <c r="B68" s="4">
        <v>6</v>
      </c>
      <c r="C68" s="4">
        <v>6</v>
      </c>
      <c r="D68" s="4">
        <v>6</v>
      </c>
      <c r="E68" s="4">
        <v>6</v>
      </c>
      <c r="F68" s="4">
        <v>6</v>
      </c>
      <c r="G68" s="4">
        <v>1</v>
      </c>
      <c r="H68" s="4">
        <v>0</v>
      </c>
    </row>
    <row r="69" spans="1:8">
      <c r="A69" t="s">
        <v>32</v>
      </c>
      <c r="B69" s="4">
        <v>6</v>
      </c>
      <c r="C69" s="4">
        <v>6</v>
      </c>
      <c r="D69" s="4">
        <v>6</v>
      </c>
      <c r="E69" s="4">
        <v>6</v>
      </c>
      <c r="F69" s="4">
        <v>6</v>
      </c>
      <c r="G69" s="4">
        <v>1</v>
      </c>
      <c r="H69" s="4">
        <v>0</v>
      </c>
    </row>
    <row r="70" spans="1:8">
      <c r="A70" t="s">
        <v>33</v>
      </c>
      <c r="B70" s="4">
        <v>6</v>
      </c>
      <c r="C70" s="4">
        <v>6</v>
      </c>
      <c r="D70" s="4">
        <v>6</v>
      </c>
      <c r="E70" s="4">
        <v>6</v>
      </c>
      <c r="F70" s="4">
        <v>6</v>
      </c>
      <c r="G70" s="4">
        <v>1</v>
      </c>
      <c r="H70" s="4">
        <v>0</v>
      </c>
    </row>
    <row r="71" spans="1:8">
      <c r="A71" t="s">
        <v>34</v>
      </c>
      <c r="B71" s="4">
        <v>6</v>
      </c>
      <c r="C71" s="4">
        <v>6</v>
      </c>
      <c r="D71" s="4">
        <v>6</v>
      </c>
      <c r="E71" s="4">
        <v>6</v>
      </c>
      <c r="F71" s="4">
        <v>6</v>
      </c>
      <c r="G71" s="4">
        <v>1</v>
      </c>
      <c r="H71" s="4">
        <v>0</v>
      </c>
    </row>
    <row r="72" spans="1:8">
      <c r="A72" t="s">
        <v>35</v>
      </c>
      <c r="B72" s="4">
        <v>6</v>
      </c>
      <c r="C72" s="4">
        <v>6</v>
      </c>
      <c r="D72" s="4">
        <v>6</v>
      </c>
      <c r="E72" s="4">
        <v>6</v>
      </c>
      <c r="F72" s="4">
        <v>6</v>
      </c>
      <c r="G72" s="4">
        <v>1</v>
      </c>
      <c r="H72" s="4">
        <v>0</v>
      </c>
    </row>
    <row r="73" spans="1:8">
      <c r="A73" t="s">
        <v>36</v>
      </c>
      <c r="B73" s="4">
        <v>6</v>
      </c>
      <c r="C73" s="4">
        <v>6</v>
      </c>
      <c r="D73" s="4">
        <v>6</v>
      </c>
      <c r="E73" s="4">
        <v>6</v>
      </c>
      <c r="F73" s="4">
        <v>6</v>
      </c>
      <c r="G73" s="4">
        <v>1</v>
      </c>
      <c r="H73" s="4">
        <v>0</v>
      </c>
    </row>
    <row r="74" spans="1:8">
      <c r="A74" t="s">
        <v>37</v>
      </c>
      <c r="B74" s="4">
        <v>6</v>
      </c>
      <c r="C74" s="4">
        <v>6</v>
      </c>
      <c r="D74" s="4">
        <v>6</v>
      </c>
      <c r="E74" s="4">
        <v>6</v>
      </c>
      <c r="F74" s="4">
        <v>6</v>
      </c>
      <c r="G74" s="4">
        <v>1</v>
      </c>
      <c r="H74" s="4">
        <v>0</v>
      </c>
    </row>
    <row r="75" spans="1:8">
      <c r="A75" t="s">
        <v>38</v>
      </c>
      <c r="B75" s="4">
        <v>6</v>
      </c>
      <c r="C75" s="4">
        <v>6</v>
      </c>
      <c r="D75" s="4">
        <v>6</v>
      </c>
      <c r="E75" s="4">
        <v>6</v>
      </c>
      <c r="F75" s="4">
        <v>6</v>
      </c>
      <c r="G75" s="4">
        <v>1</v>
      </c>
      <c r="H75" s="4">
        <v>0</v>
      </c>
    </row>
    <row r="76" spans="1:8">
      <c r="A76" t="s">
        <v>39</v>
      </c>
      <c r="B76" s="4">
        <v>6</v>
      </c>
      <c r="C76" s="4">
        <v>6</v>
      </c>
      <c r="D76" s="4">
        <v>6</v>
      </c>
      <c r="E76" s="4">
        <v>6</v>
      </c>
      <c r="F76" s="4">
        <v>6</v>
      </c>
      <c r="G76" s="4">
        <v>1</v>
      </c>
      <c r="H76" s="4">
        <v>0</v>
      </c>
    </row>
    <row r="77" spans="1:8">
      <c r="A77" t="s">
        <v>40</v>
      </c>
      <c r="B77" s="4">
        <v>3</v>
      </c>
      <c r="C77" s="4">
        <v>3</v>
      </c>
      <c r="D77" s="4">
        <v>3</v>
      </c>
      <c r="E77" s="4">
        <v>3</v>
      </c>
      <c r="F77" s="4">
        <v>3</v>
      </c>
      <c r="G77" s="4">
        <v>1</v>
      </c>
      <c r="H77" s="4">
        <v>0</v>
      </c>
    </row>
    <row r="78" spans="1:8">
      <c r="A78" t="s">
        <v>41</v>
      </c>
      <c r="B78" s="4">
        <v>3</v>
      </c>
      <c r="C78" s="4">
        <v>3</v>
      </c>
      <c r="D78" s="4">
        <v>3</v>
      </c>
      <c r="E78" s="4">
        <v>3</v>
      </c>
      <c r="F78" s="4">
        <v>3</v>
      </c>
      <c r="G78" s="4">
        <v>1</v>
      </c>
      <c r="H78" s="4">
        <v>0</v>
      </c>
    </row>
    <row r="79" spans="1:8">
      <c r="A79" t="s">
        <v>42</v>
      </c>
      <c r="B79" s="4">
        <v>3</v>
      </c>
      <c r="C79" s="4">
        <v>3</v>
      </c>
      <c r="D79" s="4">
        <v>3</v>
      </c>
      <c r="E79" s="4">
        <v>3</v>
      </c>
      <c r="F79" s="4">
        <v>3</v>
      </c>
      <c r="G79" s="4">
        <v>1</v>
      </c>
      <c r="H79" s="4">
        <v>0</v>
      </c>
    </row>
    <row r="80" spans="1:8">
      <c r="A80" t="s">
        <v>43</v>
      </c>
      <c r="B80" s="4">
        <v>3</v>
      </c>
      <c r="C80" s="4">
        <v>3</v>
      </c>
      <c r="D80" s="4">
        <v>3</v>
      </c>
      <c r="E80" s="4">
        <v>3</v>
      </c>
      <c r="F80" s="4">
        <v>3</v>
      </c>
      <c r="G80" s="4">
        <v>1</v>
      </c>
      <c r="H80" s="4">
        <v>0</v>
      </c>
    </row>
    <row r="81" spans="1:8">
      <c r="A81" t="s">
        <v>44</v>
      </c>
      <c r="B81" s="4">
        <v>3</v>
      </c>
      <c r="C81" s="4">
        <v>3</v>
      </c>
      <c r="D81" s="4">
        <v>3</v>
      </c>
      <c r="E81" s="4">
        <v>3</v>
      </c>
      <c r="F81" s="4">
        <v>3</v>
      </c>
      <c r="G81" s="4">
        <v>1</v>
      </c>
      <c r="H81" s="4">
        <v>0</v>
      </c>
    </row>
    <row r="82" spans="1:8">
      <c r="A82" t="s">
        <v>45</v>
      </c>
      <c r="B82" s="4">
        <v>1</v>
      </c>
      <c r="C82" s="4">
        <v>1</v>
      </c>
      <c r="D82" s="4">
        <v>1</v>
      </c>
      <c r="E82" s="4">
        <v>1</v>
      </c>
      <c r="F82" s="4">
        <v>1</v>
      </c>
      <c r="G82" s="4">
        <v>1</v>
      </c>
      <c r="H82" s="4">
        <v>0</v>
      </c>
    </row>
    <row r="83" spans="1:8">
      <c r="A83" t="s">
        <v>46</v>
      </c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0</v>
      </c>
    </row>
    <row r="84" spans="1:8">
      <c r="A84" t="s">
        <v>47</v>
      </c>
      <c r="B84" s="4">
        <v>1</v>
      </c>
      <c r="C84" s="4">
        <v>1</v>
      </c>
      <c r="D84" s="4">
        <v>1</v>
      </c>
      <c r="E84" s="4">
        <v>1</v>
      </c>
      <c r="F84" s="4">
        <v>1</v>
      </c>
      <c r="G84" s="4">
        <v>1</v>
      </c>
      <c r="H84" s="4">
        <v>0</v>
      </c>
    </row>
    <row r="85" spans="1:8">
      <c r="A85" t="s">
        <v>390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391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392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393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394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395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396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397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398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399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400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401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F105"/>
  <sheetViews>
    <sheetView zoomScaleNormal="100" workbookViewId="0">
      <selection activeCell="L21" sqref="L21:L22"/>
    </sheetView>
  </sheetViews>
  <sheetFormatPr defaultRowHeight="15"/>
  <cols>
    <col min="6" max="6" width="14.140625" customWidth="1"/>
  </cols>
  <sheetData>
    <row r="1" spans="1:6">
      <c r="A1" t="s">
        <v>50</v>
      </c>
      <c r="B1" s="1" t="s">
        <v>227</v>
      </c>
      <c r="C1" s="1" t="s">
        <v>228</v>
      </c>
      <c r="D1" s="27" t="s">
        <v>473</v>
      </c>
      <c r="E1" s="27" t="s">
        <v>474</v>
      </c>
      <c r="F1" t="s">
        <v>49</v>
      </c>
    </row>
    <row r="2" spans="1:6">
      <c r="A2" t="s">
        <v>51</v>
      </c>
      <c r="B2" s="28" t="s">
        <v>160</v>
      </c>
      <c r="C2" s="28" t="s">
        <v>161</v>
      </c>
      <c r="D2" s="29"/>
      <c r="E2" s="29"/>
      <c r="F2" s="2">
        <v>4</v>
      </c>
    </row>
    <row r="3" spans="1:6">
      <c r="A3" t="s">
        <v>52</v>
      </c>
      <c r="B3" s="28" t="s">
        <v>160</v>
      </c>
      <c r="C3" s="28" t="s">
        <v>162</v>
      </c>
      <c r="D3" s="29"/>
      <c r="E3" s="29"/>
      <c r="F3" s="2">
        <v>6</v>
      </c>
    </row>
    <row r="4" spans="1:6">
      <c r="A4" t="s">
        <v>53</v>
      </c>
      <c r="B4" s="28" t="s">
        <v>160</v>
      </c>
      <c r="C4" s="28">
        <v>0.52083333333333337</v>
      </c>
      <c r="D4" s="29">
        <v>0.5625</v>
      </c>
      <c r="E4" s="29">
        <v>0.72916666666666663</v>
      </c>
      <c r="F4" s="2">
        <v>8</v>
      </c>
    </row>
    <row r="5" spans="1:6">
      <c r="A5" t="s">
        <v>54</v>
      </c>
      <c r="B5" s="28" t="s">
        <v>164</v>
      </c>
      <c r="C5" s="28" t="s">
        <v>165</v>
      </c>
      <c r="D5" s="29"/>
      <c r="E5" s="29"/>
      <c r="F5" s="2">
        <v>4</v>
      </c>
    </row>
    <row r="6" spans="1:6">
      <c r="A6" t="s">
        <v>55</v>
      </c>
      <c r="B6" s="28" t="s">
        <v>164</v>
      </c>
      <c r="C6" s="28" t="s">
        <v>166</v>
      </c>
      <c r="D6" s="29"/>
      <c r="E6" s="29"/>
      <c r="F6" s="2">
        <v>6</v>
      </c>
    </row>
    <row r="7" spans="1:6">
      <c r="A7" t="s">
        <v>56</v>
      </c>
      <c r="B7" s="28" t="s">
        <v>159</v>
      </c>
      <c r="C7" s="28" t="s">
        <v>167</v>
      </c>
      <c r="D7" s="29"/>
      <c r="E7" s="29"/>
      <c r="F7" s="2">
        <v>4</v>
      </c>
    </row>
    <row r="8" spans="1:6">
      <c r="A8" t="s">
        <v>57</v>
      </c>
      <c r="B8" s="28" t="s">
        <v>159</v>
      </c>
      <c r="C8" s="28" t="s">
        <v>168</v>
      </c>
      <c r="D8" s="29"/>
      <c r="E8" s="29"/>
      <c r="F8" s="2">
        <v>6</v>
      </c>
    </row>
    <row r="9" spans="1:6">
      <c r="A9" t="s">
        <v>58</v>
      </c>
      <c r="B9" s="28" t="s">
        <v>159</v>
      </c>
      <c r="C9" s="28">
        <v>0.54166666666666663</v>
      </c>
      <c r="D9" s="29">
        <v>0.58333333333333337</v>
      </c>
      <c r="E9" s="29">
        <v>0.75</v>
      </c>
      <c r="F9" s="2">
        <v>8</v>
      </c>
    </row>
    <row r="10" spans="1:6">
      <c r="A10" t="s">
        <v>59</v>
      </c>
      <c r="B10" s="28" t="s">
        <v>170</v>
      </c>
      <c r="C10" s="28" t="s">
        <v>171</v>
      </c>
      <c r="D10" s="29"/>
      <c r="E10" s="29"/>
      <c r="F10" s="2">
        <v>4</v>
      </c>
    </row>
    <row r="11" spans="1:6">
      <c r="A11" t="s">
        <v>60</v>
      </c>
      <c r="B11" s="28" t="s">
        <v>170</v>
      </c>
      <c r="C11" s="28" t="s">
        <v>172</v>
      </c>
      <c r="D11" s="29"/>
      <c r="E11" s="29"/>
      <c r="F11" s="2">
        <v>6</v>
      </c>
    </row>
    <row r="12" spans="1:6">
      <c r="A12" t="s">
        <v>61</v>
      </c>
      <c r="B12" s="28" t="s">
        <v>173</v>
      </c>
      <c r="C12" s="28" t="s">
        <v>174</v>
      </c>
      <c r="D12" s="29"/>
      <c r="E12" s="29"/>
      <c r="F12" s="2">
        <v>4</v>
      </c>
    </row>
    <row r="13" spans="1:6">
      <c r="A13" t="s">
        <v>62</v>
      </c>
      <c r="B13" s="28" t="s">
        <v>173</v>
      </c>
      <c r="C13" s="28" t="s">
        <v>175</v>
      </c>
      <c r="D13" s="29"/>
      <c r="E13" s="29"/>
      <c r="F13" s="2">
        <v>6</v>
      </c>
    </row>
    <row r="14" spans="1:6">
      <c r="A14" t="s">
        <v>63</v>
      </c>
      <c r="B14" s="28" t="s">
        <v>173</v>
      </c>
      <c r="C14" s="28">
        <v>0.5625</v>
      </c>
      <c r="D14" s="29">
        <v>0.60416666666666663</v>
      </c>
      <c r="E14" s="29">
        <v>0.77083333333333337</v>
      </c>
      <c r="F14" s="2">
        <v>8</v>
      </c>
    </row>
    <row r="15" spans="1:6">
      <c r="A15" t="s">
        <v>64</v>
      </c>
      <c r="B15" s="28" t="s">
        <v>177</v>
      </c>
      <c r="C15" s="28" t="s">
        <v>178</v>
      </c>
      <c r="D15" s="29"/>
      <c r="E15" s="29"/>
      <c r="F15" s="2">
        <v>4</v>
      </c>
    </row>
    <row r="16" spans="1:6">
      <c r="A16" t="s">
        <v>65</v>
      </c>
      <c r="B16" s="28" t="s">
        <v>177</v>
      </c>
      <c r="C16" s="28" t="s">
        <v>179</v>
      </c>
      <c r="D16" s="29"/>
      <c r="E16" s="29"/>
      <c r="F16" s="2">
        <v>6</v>
      </c>
    </row>
    <row r="17" spans="1:6">
      <c r="A17" t="s">
        <v>66</v>
      </c>
      <c r="B17" s="28" t="s">
        <v>180</v>
      </c>
      <c r="C17" s="28" t="s">
        <v>181</v>
      </c>
      <c r="D17" s="29"/>
      <c r="E17" s="29"/>
      <c r="F17" s="2">
        <v>4</v>
      </c>
    </row>
    <row r="18" spans="1:6">
      <c r="A18" t="s">
        <v>67</v>
      </c>
      <c r="B18" s="28" t="s">
        <v>180</v>
      </c>
      <c r="C18" s="28" t="s">
        <v>182</v>
      </c>
      <c r="D18" s="29"/>
      <c r="E18" s="29"/>
      <c r="F18" s="2">
        <v>6</v>
      </c>
    </row>
    <row r="19" spans="1:6">
      <c r="A19" t="s">
        <v>68</v>
      </c>
      <c r="B19" s="28" t="s">
        <v>180</v>
      </c>
      <c r="C19" s="28">
        <v>0.58333333333333337</v>
      </c>
      <c r="D19" s="29">
        <v>0.625</v>
      </c>
      <c r="E19" s="29">
        <v>0.79166666666666663</v>
      </c>
      <c r="F19" s="2">
        <v>8</v>
      </c>
    </row>
    <row r="20" spans="1:6">
      <c r="A20" t="s">
        <v>69</v>
      </c>
      <c r="B20" s="28" t="s">
        <v>184</v>
      </c>
      <c r="C20" s="28" t="s">
        <v>185</v>
      </c>
      <c r="D20" s="29"/>
      <c r="E20" s="29"/>
      <c r="F20" s="2">
        <v>4</v>
      </c>
    </row>
    <row r="21" spans="1:6">
      <c r="A21" t="s">
        <v>70</v>
      </c>
      <c r="B21" s="28" t="s">
        <v>184</v>
      </c>
      <c r="C21" s="28" t="s">
        <v>186</v>
      </c>
      <c r="D21" s="29"/>
      <c r="E21" s="29"/>
      <c r="F21" s="2">
        <v>6</v>
      </c>
    </row>
    <row r="22" spans="1:6">
      <c r="A22" t="s">
        <v>71</v>
      </c>
      <c r="B22" s="28" t="s">
        <v>187</v>
      </c>
      <c r="C22" s="28" t="s">
        <v>162</v>
      </c>
      <c r="D22" s="29"/>
      <c r="E22" s="29"/>
      <c r="F22" s="2">
        <v>4</v>
      </c>
    </row>
    <row r="23" spans="1:6">
      <c r="A23" t="s">
        <v>72</v>
      </c>
      <c r="B23" s="28" t="s">
        <v>187</v>
      </c>
      <c r="C23" s="28" t="s">
        <v>163</v>
      </c>
      <c r="D23" s="29"/>
      <c r="E23" s="29"/>
      <c r="F23" s="2">
        <v>6</v>
      </c>
    </row>
    <row r="24" spans="1:6">
      <c r="A24" t="s">
        <v>73</v>
      </c>
      <c r="B24" s="28" t="s">
        <v>187</v>
      </c>
      <c r="C24" s="28">
        <v>0.60416666666666663</v>
      </c>
      <c r="D24" s="29">
        <v>0.64583333333333337</v>
      </c>
      <c r="E24" s="29">
        <v>0.8125</v>
      </c>
      <c r="F24" s="2">
        <v>8</v>
      </c>
    </row>
    <row r="25" spans="1:6">
      <c r="A25" t="s">
        <v>74</v>
      </c>
      <c r="B25" s="28" t="s">
        <v>189</v>
      </c>
      <c r="C25" s="28" t="s">
        <v>166</v>
      </c>
      <c r="D25" s="29"/>
      <c r="E25" s="29"/>
      <c r="F25" s="2">
        <v>4</v>
      </c>
    </row>
    <row r="26" spans="1:6">
      <c r="A26" t="s">
        <v>75</v>
      </c>
      <c r="B26" s="28" t="s">
        <v>189</v>
      </c>
      <c r="C26" s="28" t="s">
        <v>190</v>
      </c>
      <c r="D26" s="29"/>
      <c r="E26" s="29"/>
      <c r="F26" s="2">
        <v>6</v>
      </c>
    </row>
    <row r="27" spans="1:6">
      <c r="A27" t="s">
        <v>76</v>
      </c>
      <c r="B27" s="28" t="s">
        <v>191</v>
      </c>
      <c r="C27" s="28" t="s">
        <v>168</v>
      </c>
      <c r="D27" s="29"/>
      <c r="E27" s="29"/>
      <c r="F27" s="2">
        <v>4</v>
      </c>
    </row>
    <row r="28" spans="1:6">
      <c r="A28" t="s">
        <v>77</v>
      </c>
      <c r="B28" s="28" t="s">
        <v>191</v>
      </c>
      <c r="C28" s="28" t="s">
        <v>169</v>
      </c>
      <c r="D28" s="29"/>
      <c r="E28" s="29"/>
      <c r="F28" s="2">
        <v>6</v>
      </c>
    </row>
    <row r="29" spans="1:6">
      <c r="A29" t="s">
        <v>78</v>
      </c>
      <c r="B29" s="28" t="s">
        <v>191</v>
      </c>
      <c r="C29" s="28">
        <v>0.625</v>
      </c>
      <c r="D29" s="29">
        <v>0.66666666666666663</v>
      </c>
      <c r="E29" s="29">
        <v>0.83333333333333337</v>
      </c>
      <c r="F29" s="2">
        <v>8</v>
      </c>
    </row>
    <row r="30" spans="1:6">
      <c r="A30" t="s">
        <v>79</v>
      </c>
      <c r="B30" s="28" t="s">
        <v>193</v>
      </c>
      <c r="C30" s="28" t="s">
        <v>172</v>
      </c>
      <c r="D30" s="29"/>
      <c r="E30" s="29"/>
      <c r="F30" s="2">
        <v>4</v>
      </c>
    </row>
    <row r="31" spans="1:6">
      <c r="A31" t="s">
        <v>80</v>
      </c>
      <c r="B31" s="28" t="s">
        <v>193</v>
      </c>
      <c r="C31" s="28" t="s">
        <v>194</v>
      </c>
      <c r="D31" s="29"/>
      <c r="E31" s="29"/>
      <c r="F31" s="2">
        <v>6</v>
      </c>
    </row>
    <row r="32" spans="1:6">
      <c r="A32" t="s">
        <v>81</v>
      </c>
      <c r="B32" s="28" t="s">
        <v>195</v>
      </c>
      <c r="C32" s="28" t="s">
        <v>175</v>
      </c>
      <c r="D32" s="29"/>
      <c r="E32" s="29"/>
      <c r="F32" s="2">
        <v>4</v>
      </c>
    </row>
    <row r="33" spans="1:6">
      <c r="A33" t="s">
        <v>82</v>
      </c>
      <c r="B33" s="28" t="s">
        <v>195</v>
      </c>
      <c r="C33" s="28" t="s">
        <v>176</v>
      </c>
      <c r="D33" s="29"/>
      <c r="E33" s="29"/>
      <c r="F33" s="2">
        <v>6</v>
      </c>
    </row>
    <row r="34" spans="1:6">
      <c r="A34" t="s">
        <v>83</v>
      </c>
      <c r="B34" s="28" t="s">
        <v>195</v>
      </c>
      <c r="C34" s="28">
        <v>0.64583333333333337</v>
      </c>
      <c r="D34" s="29">
        <v>0.6875</v>
      </c>
      <c r="E34" s="29">
        <v>0.85416666666666663</v>
      </c>
      <c r="F34" s="2">
        <v>8</v>
      </c>
    </row>
    <row r="35" spans="1:6">
      <c r="A35" t="s">
        <v>84</v>
      </c>
      <c r="B35" s="28" t="s">
        <v>197</v>
      </c>
      <c r="C35" s="28" t="s">
        <v>179</v>
      </c>
      <c r="D35" s="29"/>
      <c r="E35" s="29"/>
      <c r="F35" s="2">
        <v>4</v>
      </c>
    </row>
    <row r="36" spans="1:6">
      <c r="A36" t="s">
        <v>85</v>
      </c>
      <c r="B36" s="28" t="s">
        <v>197</v>
      </c>
      <c r="C36" s="28" t="s">
        <v>198</v>
      </c>
      <c r="D36" s="29"/>
      <c r="E36" s="29"/>
      <c r="F36" s="2">
        <v>6</v>
      </c>
    </row>
    <row r="37" spans="1:6">
      <c r="A37" t="s">
        <v>86</v>
      </c>
      <c r="B37" s="28" t="s">
        <v>199</v>
      </c>
      <c r="C37" s="28" t="s">
        <v>182</v>
      </c>
      <c r="D37" s="29"/>
      <c r="E37" s="29"/>
      <c r="F37" s="2">
        <v>4</v>
      </c>
    </row>
    <row r="38" spans="1:6">
      <c r="A38" t="s">
        <v>87</v>
      </c>
      <c r="B38" s="28" t="s">
        <v>199</v>
      </c>
      <c r="C38" s="28" t="s">
        <v>183</v>
      </c>
      <c r="D38" s="29"/>
      <c r="E38" s="29"/>
      <c r="F38" s="2">
        <v>6</v>
      </c>
    </row>
    <row r="39" spans="1:6">
      <c r="A39" t="s">
        <v>88</v>
      </c>
      <c r="B39" s="28" t="s">
        <v>199</v>
      </c>
      <c r="C39" s="28">
        <v>0.66666666666666663</v>
      </c>
      <c r="D39" s="29">
        <v>0.70833333333333337</v>
      </c>
      <c r="E39" s="29">
        <v>0.875</v>
      </c>
      <c r="F39" s="2">
        <v>8</v>
      </c>
    </row>
    <row r="40" spans="1:6">
      <c r="A40" t="s">
        <v>89</v>
      </c>
      <c r="B40" s="28" t="s">
        <v>201</v>
      </c>
      <c r="C40" s="28" t="s">
        <v>186</v>
      </c>
      <c r="D40" s="29"/>
      <c r="E40" s="29"/>
      <c r="F40" s="2">
        <v>4</v>
      </c>
    </row>
    <row r="41" spans="1:6">
      <c r="A41" t="s">
        <v>90</v>
      </c>
      <c r="B41" s="28" t="s">
        <v>201</v>
      </c>
      <c r="C41" s="28" t="s">
        <v>202</v>
      </c>
      <c r="D41" s="29"/>
      <c r="E41" s="29"/>
      <c r="F41" s="2">
        <v>6</v>
      </c>
    </row>
    <row r="42" spans="1:6">
      <c r="A42" t="s">
        <v>91</v>
      </c>
      <c r="B42" s="28" t="s">
        <v>161</v>
      </c>
      <c r="C42" s="28" t="s">
        <v>163</v>
      </c>
      <c r="D42" s="29"/>
      <c r="E42" s="29"/>
      <c r="F42" s="2">
        <v>4</v>
      </c>
    </row>
    <row r="43" spans="1:6">
      <c r="A43" t="s">
        <v>92</v>
      </c>
      <c r="B43" s="28" t="s">
        <v>161</v>
      </c>
      <c r="C43" s="28" t="s">
        <v>188</v>
      </c>
      <c r="D43" s="29"/>
      <c r="E43" s="29"/>
      <c r="F43" s="2">
        <v>6</v>
      </c>
    </row>
    <row r="44" spans="1:6">
      <c r="A44" t="s">
        <v>93</v>
      </c>
      <c r="B44" s="28" t="s">
        <v>161</v>
      </c>
      <c r="C44" s="28">
        <v>0.6875</v>
      </c>
      <c r="D44" s="29">
        <v>0.72916666666666663</v>
      </c>
      <c r="E44" s="29">
        <v>0.89583333333333337</v>
      </c>
      <c r="F44" s="2">
        <v>8</v>
      </c>
    </row>
    <row r="45" spans="1:6">
      <c r="A45" t="s">
        <v>94</v>
      </c>
      <c r="B45" s="28" t="s">
        <v>165</v>
      </c>
      <c r="C45" s="28" t="s">
        <v>190</v>
      </c>
      <c r="D45" s="29"/>
      <c r="E45" s="29"/>
      <c r="F45" s="2">
        <v>4</v>
      </c>
    </row>
    <row r="46" spans="1:6">
      <c r="A46" t="s">
        <v>95</v>
      </c>
      <c r="B46" s="28" t="s">
        <v>165</v>
      </c>
      <c r="C46" s="28" t="s">
        <v>204</v>
      </c>
      <c r="D46" s="29"/>
      <c r="E46" s="29"/>
      <c r="F46" s="2">
        <v>6</v>
      </c>
    </row>
    <row r="47" spans="1:6">
      <c r="A47" t="s">
        <v>96</v>
      </c>
      <c r="B47" s="28" t="s">
        <v>167</v>
      </c>
      <c r="C47" s="28" t="s">
        <v>169</v>
      </c>
      <c r="D47" s="29"/>
      <c r="E47" s="29"/>
      <c r="F47" s="2">
        <v>4</v>
      </c>
    </row>
    <row r="48" spans="1:6">
      <c r="A48" t="s">
        <v>97</v>
      </c>
      <c r="B48" s="28" t="s">
        <v>167</v>
      </c>
      <c r="C48" s="28" t="s">
        <v>192</v>
      </c>
      <c r="D48" s="29"/>
      <c r="E48" s="29"/>
      <c r="F48" s="2">
        <v>6</v>
      </c>
    </row>
    <row r="49" spans="1:6">
      <c r="A49" t="s">
        <v>98</v>
      </c>
      <c r="B49" s="28" t="s">
        <v>167</v>
      </c>
      <c r="C49" s="28">
        <v>0.70833333333333337</v>
      </c>
      <c r="D49" s="29">
        <v>0.75</v>
      </c>
      <c r="E49" s="29">
        <v>0.91666666666666663</v>
      </c>
      <c r="F49" s="2">
        <v>8</v>
      </c>
    </row>
    <row r="50" spans="1:6">
      <c r="A50" t="s">
        <v>99</v>
      </c>
      <c r="B50" s="28" t="s">
        <v>171</v>
      </c>
      <c r="C50" s="28" t="s">
        <v>194</v>
      </c>
      <c r="D50" s="29"/>
      <c r="E50" s="29"/>
      <c r="F50" s="2">
        <v>4</v>
      </c>
    </row>
    <row r="51" spans="1:6">
      <c r="A51" t="s">
        <v>100</v>
      </c>
      <c r="B51" s="28" t="s">
        <v>174</v>
      </c>
      <c r="C51" s="28" t="s">
        <v>176</v>
      </c>
      <c r="D51" s="29"/>
      <c r="E51" s="29"/>
      <c r="F51" s="2">
        <v>4</v>
      </c>
    </row>
    <row r="52" spans="1:6">
      <c r="A52" t="s">
        <v>101</v>
      </c>
      <c r="B52" s="28" t="s">
        <v>174</v>
      </c>
      <c r="C52" s="28" t="s">
        <v>196</v>
      </c>
      <c r="D52" s="29"/>
      <c r="E52" s="29"/>
      <c r="F52" s="2">
        <v>6</v>
      </c>
    </row>
    <row r="53" spans="1:6">
      <c r="A53" t="s">
        <v>102</v>
      </c>
      <c r="B53" s="28" t="s">
        <v>178</v>
      </c>
      <c r="C53" s="28" t="s">
        <v>198</v>
      </c>
      <c r="D53" s="29"/>
      <c r="E53" s="29"/>
      <c r="F53" s="2">
        <v>4</v>
      </c>
    </row>
    <row r="54" spans="1:6">
      <c r="A54" t="s">
        <v>103</v>
      </c>
      <c r="B54" s="28" t="s">
        <v>178</v>
      </c>
      <c r="C54" s="28" t="s">
        <v>205</v>
      </c>
      <c r="D54" s="29"/>
      <c r="E54" s="29"/>
      <c r="F54" s="2">
        <v>6</v>
      </c>
    </row>
    <row r="55" spans="1:6">
      <c r="A55" t="s">
        <v>104</v>
      </c>
      <c r="B55" s="28" t="s">
        <v>181</v>
      </c>
      <c r="C55" s="28" t="s">
        <v>183</v>
      </c>
      <c r="D55" s="29"/>
      <c r="E55" s="29"/>
      <c r="F55" s="2">
        <v>4</v>
      </c>
    </row>
    <row r="56" spans="1:6">
      <c r="A56" t="s">
        <v>105</v>
      </c>
      <c r="B56" s="28" t="s">
        <v>181</v>
      </c>
      <c r="C56" s="28" t="s">
        <v>200</v>
      </c>
      <c r="D56" s="29"/>
      <c r="E56" s="29"/>
      <c r="F56" s="2">
        <v>6</v>
      </c>
    </row>
    <row r="57" spans="1:6">
      <c r="A57" t="s">
        <v>106</v>
      </c>
      <c r="B57" s="28" t="s">
        <v>185</v>
      </c>
      <c r="C57" s="28" t="s">
        <v>202</v>
      </c>
      <c r="D57" s="29"/>
      <c r="E57" s="29"/>
      <c r="F57" s="2">
        <v>4</v>
      </c>
    </row>
    <row r="58" spans="1:6">
      <c r="A58" t="s">
        <v>107</v>
      </c>
      <c r="B58" s="28" t="s">
        <v>162</v>
      </c>
      <c r="C58" s="28" t="s">
        <v>188</v>
      </c>
      <c r="D58" s="29"/>
      <c r="E58" s="29"/>
      <c r="F58" s="2">
        <v>4</v>
      </c>
    </row>
    <row r="59" spans="1:6">
      <c r="A59" t="s">
        <v>108</v>
      </c>
      <c r="B59" s="28" t="s">
        <v>162</v>
      </c>
      <c r="C59" s="28" t="s">
        <v>203</v>
      </c>
      <c r="D59" s="29"/>
      <c r="E59" s="29"/>
      <c r="F59" s="2">
        <v>6</v>
      </c>
    </row>
    <row r="60" spans="1:6">
      <c r="A60" t="s">
        <v>109</v>
      </c>
      <c r="B60" s="28" t="s">
        <v>206</v>
      </c>
      <c r="C60" s="28" t="s">
        <v>207</v>
      </c>
      <c r="D60" s="29"/>
      <c r="E60" s="29"/>
      <c r="F60" s="2">
        <v>6</v>
      </c>
    </row>
    <row r="61" spans="1:6">
      <c r="A61" t="s">
        <v>110</v>
      </c>
      <c r="B61" s="28" t="s">
        <v>166</v>
      </c>
      <c r="C61" s="28" t="s">
        <v>204</v>
      </c>
      <c r="D61" s="29"/>
      <c r="E61" s="29"/>
      <c r="F61" s="2">
        <v>4</v>
      </c>
    </row>
    <row r="62" spans="1:6">
      <c r="A62" t="s">
        <v>111</v>
      </c>
      <c r="B62" s="28" t="s">
        <v>168</v>
      </c>
      <c r="C62" s="28" t="s">
        <v>192</v>
      </c>
      <c r="D62" s="29"/>
      <c r="E62" s="29"/>
      <c r="F62" s="2">
        <v>4</v>
      </c>
    </row>
    <row r="63" spans="1:6">
      <c r="A63" t="s">
        <v>112</v>
      </c>
      <c r="B63" s="28" t="s">
        <v>168</v>
      </c>
      <c r="C63" s="28" t="s">
        <v>151</v>
      </c>
      <c r="D63" s="29"/>
      <c r="E63" s="29"/>
      <c r="F63" s="2">
        <v>6</v>
      </c>
    </row>
    <row r="64" spans="1:6">
      <c r="A64" t="s">
        <v>113</v>
      </c>
      <c r="B64" s="28" t="s">
        <v>175</v>
      </c>
      <c r="C64" s="28" t="s">
        <v>196</v>
      </c>
      <c r="D64" s="29"/>
      <c r="E64" s="29"/>
      <c r="F64" s="2">
        <v>4</v>
      </c>
    </row>
    <row r="65" spans="1:6">
      <c r="A65" t="s">
        <v>114</v>
      </c>
      <c r="B65" s="28" t="s">
        <v>179</v>
      </c>
      <c r="C65" s="28" t="s">
        <v>205</v>
      </c>
      <c r="D65" s="29"/>
      <c r="E65" s="29"/>
      <c r="F65" s="2">
        <v>4</v>
      </c>
    </row>
    <row r="66" spans="1:6">
      <c r="A66" t="s">
        <v>115</v>
      </c>
      <c r="B66" s="28" t="s">
        <v>182</v>
      </c>
      <c r="C66" s="28" t="s">
        <v>200</v>
      </c>
      <c r="D66" s="29"/>
      <c r="E66" s="29"/>
      <c r="F66" s="2">
        <v>4</v>
      </c>
    </row>
    <row r="67" spans="1:6">
      <c r="A67" t="s">
        <v>116</v>
      </c>
      <c r="B67" s="28" t="s">
        <v>163</v>
      </c>
      <c r="C67" s="28" t="s">
        <v>203</v>
      </c>
      <c r="D67" s="29"/>
      <c r="E67" s="29"/>
      <c r="F67" s="2">
        <v>4</v>
      </c>
    </row>
    <row r="68" spans="1:6">
      <c r="A68" t="s">
        <v>117</v>
      </c>
      <c r="B68" s="28" t="s">
        <v>169</v>
      </c>
      <c r="C68" s="28" t="s">
        <v>151</v>
      </c>
      <c r="D68" s="29"/>
      <c r="E68" s="29"/>
      <c r="F68" s="2">
        <v>4</v>
      </c>
    </row>
    <row r="69" spans="1:6">
      <c r="A69" t="s">
        <v>118</v>
      </c>
      <c r="B69" s="28" t="s">
        <v>172</v>
      </c>
      <c r="C69" s="28" t="s">
        <v>208</v>
      </c>
      <c r="D69" s="29"/>
      <c r="E69" s="29"/>
      <c r="F69" s="2">
        <v>4</v>
      </c>
    </row>
    <row r="70" spans="1:6">
      <c r="A70" t="s">
        <v>119</v>
      </c>
      <c r="B70" s="28" t="s">
        <v>185</v>
      </c>
      <c r="C70" s="28" t="s">
        <v>209</v>
      </c>
      <c r="D70" s="29"/>
      <c r="E70" s="29"/>
      <c r="F70" s="2">
        <v>6</v>
      </c>
    </row>
    <row r="71" spans="1:6">
      <c r="A71" t="s">
        <v>120</v>
      </c>
      <c r="B71" s="28" t="s">
        <v>166</v>
      </c>
      <c r="C71" s="28" t="s">
        <v>210</v>
      </c>
      <c r="D71" s="29"/>
      <c r="E71" s="29"/>
      <c r="F71" s="2">
        <v>6</v>
      </c>
    </row>
    <row r="72" spans="1:6">
      <c r="A72" t="s">
        <v>121</v>
      </c>
      <c r="B72" s="28" t="s">
        <v>190</v>
      </c>
      <c r="C72" s="28" t="s">
        <v>210</v>
      </c>
      <c r="D72" s="29"/>
      <c r="E72" s="29"/>
      <c r="F72" s="2">
        <v>4</v>
      </c>
    </row>
    <row r="73" spans="1:6">
      <c r="A73" t="s">
        <v>122</v>
      </c>
      <c r="B73" s="28" t="s">
        <v>211</v>
      </c>
      <c r="C73" s="28" t="s">
        <v>212</v>
      </c>
      <c r="D73" s="29"/>
      <c r="E73" s="29"/>
      <c r="F73" s="2">
        <v>6</v>
      </c>
    </row>
    <row r="74" spans="1:6">
      <c r="A74" t="s">
        <v>123</v>
      </c>
      <c r="B74" s="28" t="s">
        <v>213</v>
      </c>
      <c r="C74" s="28" t="s">
        <v>214</v>
      </c>
      <c r="D74" s="29"/>
      <c r="E74" s="29"/>
      <c r="F74" s="2">
        <v>6</v>
      </c>
    </row>
    <row r="75" spans="1:6">
      <c r="A75" t="s">
        <v>124</v>
      </c>
      <c r="B75" s="28" t="s">
        <v>171</v>
      </c>
      <c r="C75" s="28" t="s">
        <v>208</v>
      </c>
      <c r="D75" s="29"/>
      <c r="E75" s="29"/>
      <c r="F75" s="2">
        <v>6</v>
      </c>
    </row>
    <row r="76" spans="1:6">
      <c r="A76" t="s">
        <v>125</v>
      </c>
      <c r="B76" s="28" t="s">
        <v>160</v>
      </c>
      <c r="C76" s="28" t="s">
        <v>161</v>
      </c>
      <c r="D76" s="29"/>
      <c r="E76" s="29"/>
      <c r="F76" s="2">
        <v>4</v>
      </c>
    </row>
    <row r="77" spans="1:6">
      <c r="A77" t="s">
        <v>126</v>
      </c>
      <c r="B77" s="28" t="s">
        <v>186</v>
      </c>
      <c r="C77" s="28" t="s">
        <v>209</v>
      </c>
      <c r="D77" s="29"/>
      <c r="E77" s="29"/>
      <c r="F77" s="2">
        <v>4</v>
      </c>
    </row>
    <row r="78" spans="1:6">
      <c r="A78" t="s">
        <v>127</v>
      </c>
      <c r="B78" s="28" t="s">
        <v>164</v>
      </c>
      <c r="C78" s="28">
        <v>0.53125</v>
      </c>
      <c r="D78" s="29">
        <v>0.57291666666666663</v>
      </c>
      <c r="E78" s="29">
        <v>0.73958333333333337</v>
      </c>
      <c r="F78" s="2">
        <v>8</v>
      </c>
    </row>
    <row r="79" spans="1:6">
      <c r="A79" t="s">
        <v>128</v>
      </c>
      <c r="B79" s="28" t="s">
        <v>170</v>
      </c>
      <c r="C79" s="28">
        <v>0.55208333333333337</v>
      </c>
      <c r="D79" s="29">
        <v>0.59375</v>
      </c>
      <c r="E79" s="29">
        <v>0.76041666666666663</v>
      </c>
      <c r="F79" s="2">
        <v>8</v>
      </c>
    </row>
    <row r="80" spans="1:6">
      <c r="A80" t="s">
        <v>129</v>
      </c>
      <c r="B80" s="28" t="s">
        <v>177</v>
      </c>
      <c r="C80" s="28">
        <v>0.57291666666666663</v>
      </c>
      <c r="D80" s="29">
        <v>0.61458333333333337</v>
      </c>
      <c r="E80" s="29">
        <v>0.78125</v>
      </c>
      <c r="F80" s="2">
        <v>8</v>
      </c>
    </row>
    <row r="81" spans="1:6">
      <c r="A81" t="s">
        <v>130</v>
      </c>
      <c r="B81" s="28" t="s">
        <v>184</v>
      </c>
      <c r="C81" s="28">
        <v>0.59375</v>
      </c>
      <c r="D81" s="29">
        <v>0.63541666666666663</v>
      </c>
      <c r="E81" s="29">
        <v>0.80208333333333337</v>
      </c>
      <c r="F81" s="2">
        <v>8</v>
      </c>
    </row>
    <row r="82" spans="1:6">
      <c r="A82" t="s">
        <v>131</v>
      </c>
      <c r="B82" s="28" t="s">
        <v>189</v>
      </c>
      <c r="C82" s="28">
        <v>0.61458333333333337</v>
      </c>
      <c r="D82" s="29">
        <v>0.65625</v>
      </c>
      <c r="E82" s="29">
        <v>0.82291666666666663</v>
      </c>
      <c r="F82" s="2">
        <v>8</v>
      </c>
    </row>
    <row r="83" spans="1:6">
      <c r="A83" t="s">
        <v>132</v>
      </c>
      <c r="B83" s="28" t="s">
        <v>193</v>
      </c>
      <c r="C83" s="28">
        <v>0.63541666666666663</v>
      </c>
      <c r="D83" s="29">
        <v>0.67708333333333337</v>
      </c>
      <c r="E83" s="29">
        <v>0.84375</v>
      </c>
      <c r="F83" s="2">
        <v>8</v>
      </c>
    </row>
    <row r="84" spans="1:6">
      <c r="A84" t="s">
        <v>133</v>
      </c>
      <c r="B84" s="28" t="s">
        <v>197</v>
      </c>
      <c r="C84" s="28">
        <v>0.65625</v>
      </c>
      <c r="D84" s="29">
        <v>0.69791666666666663</v>
      </c>
      <c r="E84" s="29">
        <v>0.86458333333333337</v>
      </c>
      <c r="F84" s="2">
        <v>8</v>
      </c>
    </row>
    <row r="85" spans="1:6">
      <c r="A85" t="s">
        <v>134</v>
      </c>
      <c r="B85" s="28" t="s">
        <v>201</v>
      </c>
      <c r="C85" s="28">
        <v>0.67708333333333337</v>
      </c>
      <c r="D85" s="29">
        <v>0.71875</v>
      </c>
      <c r="E85" s="29">
        <v>0.88541666666666663</v>
      </c>
      <c r="F85" s="2">
        <v>8</v>
      </c>
    </row>
    <row r="86" spans="1:6">
      <c r="A86" t="s">
        <v>135</v>
      </c>
      <c r="B86" s="28" t="s">
        <v>165</v>
      </c>
      <c r="C86" s="28">
        <v>0.69791666666666663</v>
      </c>
      <c r="D86" s="29">
        <v>0.73958333333333337</v>
      </c>
      <c r="E86" s="29">
        <v>0.90625</v>
      </c>
      <c r="F86" s="2">
        <v>8</v>
      </c>
    </row>
    <row r="87" spans="1:6">
      <c r="A87" t="s">
        <v>136</v>
      </c>
      <c r="B87" s="28" t="s">
        <v>160</v>
      </c>
      <c r="C87" s="28" t="s">
        <v>162</v>
      </c>
      <c r="D87" s="29"/>
      <c r="E87" s="29"/>
      <c r="F87" s="2">
        <v>6</v>
      </c>
    </row>
    <row r="88" spans="1:6">
      <c r="A88" t="s">
        <v>137</v>
      </c>
      <c r="B88" s="28" t="s">
        <v>160</v>
      </c>
      <c r="C88" s="28">
        <v>0.52083333333333337</v>
      </c>
      <c r="D88" s="29">
        <v>0.5625</v>
      </c>
      <c r="E88" s="29">
        <v>0.72916666666666663</v>
      </c>
      <c r="F88" s="2">
        <v>8</v>
      </c>
    </row>
    <row r="89" spans="1:6">
      <c r="A89" t="s">
        <v>138</v>
      </c>
      <c r="B89" s="28" t="s">
        <v>159</v>
      </c>
      <c r="C89" s="28" t="s">
        <v>167</v>
      </c>
      <c r="D89" s="29"/>
      <c r="E89" s="29"/>
      <c r="F89" s="2">
        <v>4</v>
      </c>
    </row>
    <row r="90" spans="1:6">
      <c r="A90" t="s">
        <v>139</v>
      </c>
      <c r="B90" s="28" t="s">
        <v>159</v>
      </c>
      <c r="C90" s="28" t="s">
        <v>168</v>
      </c>
      <c r="D90" s="29"/>
      <c r="E90" s="29"/>
      <c r="F90" s="2">
        <v>6</v>
      </c>
    </row>
    <row r="91" spans="1:6">
      <c r="A91" t="s">
        <v>140</v>
      </c>
      <c r="B91" s="28" t="s">
        <v>159</v>
      </c>
      <c r="C91" s="28">
        <v>0.54166666666666663</v>
      </c>
      <c r="D91" s="29">
        <v>0.58333333333333337</v>
      </c>
      <c r="E91" s="29">
        <v>0.75</v>
      </c>
      <c r="F91" s="2">
        <v>8</v>
      </c>
    </row>
    <row r="92" spans="1:6">
      <c r="A92" t="s">
        <v>141</v>
      </c>
      <c r="B92" s="28" t="s">
        <v>173</v>
      </c>
      <c r="C92" s="28">
        <v>0.5625</v>
      </c>
      <c r="D92" s="29">
        <v>0.60416666666666663</v>
      </c>
      <c r="E92" s="29">
        <v>0.77083333333333337</v>
      </c>
      <c r="F92" s="2">
        <v>8</v>
      </c>
    </row>
    <row r="93" spans="1:6">
      <c r="A93" t="s">
        <v>142</v>
      </c>
      <c r="B93" s="28" t="s">
        <v>180</v>
      </c>
      <c r="C93" s="28">
        <v>0.58333333333333337</v>
      </c>
      <c r="D93" s="29">
        <v>0.625</v>
      </c>
      <c r="E93" s="29">
        <v>0.79166666666666663</v>
      </c>
      <c r="F93" s="2">
        <v>8</v>
      </c>
    </row>
    <row r="94" spans="1:6">
      <c r="A94" t="s">
        <v>143</v>
      </c>
      <c r="B94" s="28" t="s">
        <v>191</v>
      </c>
      <c r="C94" s="28" t="s">
        <v>169</v>
      </c>
      <c r="D94" s="29"/>
      <c r="E94" s="29"/>
      <c r="F94" s="2">
        <v>6</v>
      </c>
    </row>
    <row r="95" spans="1:6">
      <c r="A95" t="s">
        <v>144</v>
      </c>
      <c r="B95" s="28" t="s">
        <v>191</v>
      </c>
      <c r="C95" s="28">
        <v>0.625</v>
      </c>
      <c r="D95" s="29">
        <v>0.66666666666666663</v>
      </c>
      <c r="E95" s="29">
        <v>0.83333333333333337</v>
      </c>
      <c r="F95" s="2">
        <v>8</v>
      </c>
    </row>
    <row r="96" spans="1:6">
      <c r="A96" t="s">
        <v>145</v>
      </c>
      <c r="B96" s="28" t="s">
        <v>195</v>
      </c>
      <c r="C96" s="28">
        <v>0.64583333333333337</v>
      </c>
      <c r="D96" s="29">
        <v>0.6875</v>
      </c>
      <c r="E96" s="29">
        <v>0.85416666666666663</v>
      </c>
      <c r="F96" s="2">
        <v>8</v>
      </c>
    </row>
    <row r="97" spans="1:6">
      <c r="A97" t="s">
        <v>146</v>
      </c>
      <c r="B97" s="28" t="s">
        <v>199</v>
      </c>
      <c r="C97" s="28">
        <v>0.66666666666666663</v>
      </c>
      <c r="D97" s="29">
        <v>0.70833333333333337</v>
      </c>
      <c r="E97" s="29">
        <v>0.875</v>
      </c>
      <c r="F97" s="2">
        <v>8</v>
      </c>
    </row>
    <row r="98" spans="1:6">
      <c r="A98" t="s">
        <v>147</v>
      </c>
      <c r="B98" s="28" t="s">
        <v>161</v>
      </c>
      <c r="C98" s="28">
        <v>0.6875</v>
      </c>
      <c r="D98" s="29">
        <v>0.72916666666666663</v>
      </c>
      <c r="E98" s="29">
        <v>0.89583333333333337</v>
      </c>
      <c r="F98" s="2">
        <v>8</v>
      </c>
    </row>
    <row r="99" spans="1:6">
      <c r="A99" t="s">
        <v>148</v>
      </c>
      <c r="B99" s="28" t="s">
        <v>167</v>
      </c>
      <c r="C99" s="28">
        <v>0.70833333333333337</v>
      </c>
      <c r="D99" s="29">
        <v>0.75</v>
      </c>
      <c r="E99" s="29">
        <v>0.91666666666666663</v>
      </c>
      <c r="F99" s="2">
        <v>8</v>
      </c>
    </row>
    <row r="100" spans="1:6">
      <c r="A100" t="s">
        <v>149</v>
      </c>
      <c r="B100" s="28" t="s">
        <v>181</v>
      </c>
      <c r="C100" s="28" t="s">
        <v>200</v>
      </c>
      <c r="D100" s="29"/>
      <c r="E100" s="29"/>
      <c r="F100" s="2">
        <v>6</v>
      </c>
    </row>
    <row r="101" spans="1:6">
      <c r="A101" t="s">
        <v>150</v>
      </c>
      <c r="B101" s="28" t="s">
        <v>197</v>
      </c>
      <c r="C101" s="28">
        <v>0.65625</v>
      </c>
      <c r="D101" s="29">
        <v>0.69791666666666663</v>
      </c>
      <c r="E101" s="29">
        <v>0.86458333333333337</v>
      </c>
      <c r="F101" s="2">
        <v>8</v>
      </c>
    </row>
    <row r="102" spans="1:6">
      <c r="A102" t="s">
        <v>475</v>
      </c>
      <c r="B102" s="28">
        <v>0.33333333333333331</v>
      </c>
      <c r="C102" s="28">
        <v>0.5</v>
      </c>
      <c r="D102" s="29"/>
      <c r="E102" s="29"/>
      <c r="F102" s="2">
        <v>4</v>
      </c>
    </row>
    <row r="103" spans="1:6">
      <c r="A103" t="s">
        <v>476</v>
      </c>
      <c r="B103" s="28">
        <v>0.34375</v>
      </c>
      <c r="C103" s="28">
        <v>0.51041666666666663</v>
      </c>
      <c r="D103" s="29"/>
      <c r="E103" s="29"/>
      <c r="F103" s="2">
        <v>4</v>
      </c>
    </row>
    <row r="104" spans="1:6">
      <c r="A104" t="s">
        <v>477</v>
      </c>
      <c r="B104" s="28">
        <v>0.33333333333333331</v>
      </c>
      <c r="C104" s="28">
        <v>0.5</v>
      </c>
      <c r="D104" s="29">
        <v>0.54166666666666663</v>
      </c>
      <c r="E104" s="29">
        <v>0.70833333333333337</v>
      </c>
      <c r="F104" s="2">
        <v>8</v>
      </c>
    </row>
    <row r="105" spans="1:6">
      <c r="A105" t="s">
        <v>478</v>
      </c>
      <c r="B105" s="28">
        <v>0.34375</v>
      </c>
      <c r="C105" s="28">
        <v>0.51041666666666663</v>
      </c>
      <c r="D105" s="29">
        <v>0.55208333333333337</v>
      </c>
      <c r="E105" s="29">
        <v>0.71875</v>
      </c>
      <c r="F105" s="2">
        <v>8</v>
      </c>
    </row>
  </sheetData>
  <autoFilter ref="A1:F101" xr:uid="{00000000-0001-0000-0000-000000000000}"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1232-DE35-4AFA-A353-AF5CBD54AEA2}">
  <sheetPr codeName="Foglio2"/>
  <dimension ref="A1:AY90"/>
  <sheetViews>
    <sheetView zoomScale="60" zoomScaleNormal="60" workbookViewId="0">
      <selection activeCell="D58" sqref="D58"/>
    </sheetView>
  </sheetViews>
  <sheetFormatPr defaultRowHeight="15"/>
  <cols>
    <col min="1" max="1" width="20.140625" bestFit="1" customWidth="1"/>
    <col min="2" max="2" width="33.85546875" bestFit="1" customWidth="1"/>
    <col min="5" max="6" width="8.7109375" style="6"/>
    <col min="9" max="9" width="20.42578125" customWidth="1"/>
    <col min="10" max="14" width="9.140625" customWidth="1"/>
    <col min="15" max="15" width="19.5703125" customWidth="1"/>
    <col min="16" max="16" width="9.140625" customWidth="1"/>
    <col min="17" max="17" width="21" customWidth="1"/>
    <col min="18" max="33" width="9.140625" customWidth="1"/>
    <col min="34" max="34" width="13.140625" customWidth="1"/>
    <col min="35" max="37" width="9.140625" customWidth="1"/>
    <col min="38" max="38" width="17.140625" customWidth="1"/>
    <col min="39" max="39" width="13.28515625" customWidth="1"/>
    <col min="40" max="40" width="13.140625" customWidth="1"/>
    <col min="41" max="41" width="16.85546875" customWidth="1"/>
    <col min="42" max="42" width="12" customWidth="1"/>
    <col min="43" max="43" width="15.5703125" customWidth="1"/>
    <col min="44" max="44" width="16.28515625" customWidth="1"/>
    <col min="45" max="50" width="15.42578125" customWidth="1"/>
    <col min="51" max="51" width="64" customWidth="1"/>
  </cols>
  <sheetData>
    <row r="1" spans="1:51" s="17" customFormat="1" ht="60">
      <c r="A1" s="17" t="s">
        <v>229</v>
      </c>
      <c r="B1" s="17" t="s">
        <v>224</v>
      </c>
      <c r="C1" s="17" t="s">
        <v>223</v>
      </c>
      <c r="D1" s="17" t="s">
        <v>222</v>
      </c>
      <c r="E1" s="18" t="s">
        <v>225</v>
      </c>
      <c r="F1" s="18" t="s">
        <v>226</v>
      </c>
      <c r="G1" s="17" t="s">
        <v>429</v>
      </c>
      <c r="H1" s="17" t="s">
        <v>410</v>
      </c>
      <c r="I1" s="17" t="s">
        <v>436</v>
      </c>
      <c r="J1" s="17" t="s">
        <v>437</v>
      </c>
      <c r="K1" s="17" t="s">
        <v>438</v>
      </c>
      <c r="L1" s="17" t="s">
        <v>439</v>
      </c>
      <c r="M1" s="17" t="s">
        <v>440</v>
      </c>
      <c r="N1" s="17" t="s">
        <v>441</v>
      </c>
      <c r="O1" s="17" t="s">
        <v>442</v>
      </c>
      <c r="P1" s="17" t="s">
        <v>443</v>
      </c>
      <c r="Q1" s="23" t="s">
        <v>466</v>
      </c>
      <c r="R1" s="23" t="s">
        <v>467</v>
      </c>
      <c r="S1" s="23" t="s">
        <v>479</v>
      </c>
      <c r="T1" s="23" t="s">
        <v>608</v>
      </c>
      <c r="U1" s="23" t="s">
        <v>609</v>
      </c>
      <c r="V1" s="23" t="s">
        <v>610</v>
      </c>
      <c r="W1" s="23" t="s">
        <v>611</v>
      </c>
      <c r="X1" s="23" t="s">
        <v>612</v>
      </c>
      <c r="Y1" s="23" t="s">
        <v>613</v>
      </c>
      <c r="Z1" s="23" t="s">
        <v>614</v>
      </c>
      <c r="AA1" s="23" t="s">
        <v>615</v>
      </c>
      <c r="AB1" s="23" t="s">
        <v>616</v>
      </c>
      <c r="AC1" s="23" t="s">
        <v>617</v>
      </c>
      <c r="AD1" s="23" t="s">
        <v>618</v>
      </c>
      <c r="AE1" s="23" t="s">
        <v>619</v>
      </c>
      <c r="AF1" s="23" t="s">
        <v>620</v>
      </c>
      <c r="AG1" s="23" t="s">
        <v>621</v>
      </c>
      <c r="AH1" s="19" t="s">
        <v>444</v>
      </c>
      <c r="AI1" s="20" t="s">
        <v>445</v>
      </c>
      <c r="AJ1" s="20" t="s">
        <v>446</v>
      </c>
      <c r="AK1" s="19" t="s">
        <v>447</v>
      </c>
      <c r="AL1" s="19" t="s">
        <v>448</v>
      </c>
      <c r="AM1" s="19" t="s">
        <v>449</v>
      </c>
      <c r="AN1" s="19" t="s">
        <v>450</v>
      </c>
      <c r="AO1" s="19" t="s">
        <v>451</v>
      </c>
      <c r="AP1" s="19" t="s">
        <v>452</v>
      </c>
      <c r="AQ1" s="19" t="s">
        <v>453</v>
      </c>
      <c r="AR1" s="19" t="s">
        <v>454</v>
      </c>
      <c r="AS1" s="19" t="s">
        <v>462</v>
      </c>
      <c r="AT1" s="19" t="s">
        <v>463</v>
      </c>
      <c r="AU1" s="19" t="s">
        <v>464</v>
      </c>
      <c r="AV1" s="19" t="s">
        <v>465</v>
      </c>
      <c r="AW1" s="24" t="s">
        <v>469</v>
      </c>
      <c r="AX1" s="25" t="s">
        <v>470</v>
      </c>
      <c r="AY1"/>
    </row>
    <row r="2" spans="1:51">
      <c r="A2" t="s">
        <v>152</v>
      </c>
      <c r="B2" t="s">
        <v>575</v>
      </c>
      <c r="C2">
        <v>20</v>
      </c>
      <c r="D2">
        <v>2</v>
      </c>
      <c r="E2" s="6">
        <v>0.625</v>
      </c>
      <c r="F2" s="6">
        <v>0.875</v>
      </c>
      <c r="G2" s="5"/>
      <c r="H2" s="5" t="s">
        <v>640</v>
      </c>
      <c r="Q2" t="s">
        <v>468</v>
      </c>
      <c r="R2">
        <v>1</v>
      </c>
      <c r="S2" t="s">
        <v>593</v>
      </c>
      <c r="AH2" t="str" cm="1">
        <f t="array" aca="1" ref="AH2" ca="1">+IFERROR(_xlfn.XLOOKUP($B2,INDIRECT("'[storico profut.xlsm]Consiglio_Week'!$B:$B"),INDIRECT("'[storico profut.xlsm]Consiglio_Week'!$I:$I")),"")</f>
        <v/>
      </c>
      <c r="AI2" t="str" cm="1">
        <f t="array" aca="1" ref="AI2" ca="1">+IFERROR(_xlfn.XLOOKUP($B2,INDIRECT("'[storico profut.xlsm]Consiglio_Week'!$B:$B"),INDIRECT("'[storico profut.xlsm]Consiglio_Week'!$L:$L")),"")</f>
        <v/>
      </c>
      <c r="AJ2" t="str" cm="1">
        <f t="array" aca="1" ref="AJ2" ca="1">+IFERROR(_xlfn.XLOOKUP($B2,INDIRECT("'[storico profut.xlsm]Consiglio_Week'!$B:$B"),INDIRECT("'[storico profut.xlsm]Consiglio_Week'!$M:$M")),"")</f>
        <v/>
      </c>
      <c r="AK2" t="str" cm="1">
        <f t="array" aca="1" ref="AK2" ca="1">+IFERROR(_xlfn.XLOOKUP($B2,INDIRECT("'[storico profut.xlsm]Consiglio_Week'!$B:$B"),INDIRECT("'[storico profut.xlsm]Consiglio_Week'!$P:$P")),"")</f>
        <v/>
      </c>
      <c r="AL2" s="21" t="str" cm="1">
        <f t="array" aca="1" ref="AL2" ca="1">IFERROR(
  _xlfn.XLOOKUP(
    $B2,
    INDIRECT("'[storico profut.xlsm]Consiglio_Week'!B:B"),
    OFFSET( INDIRECT("'[storico profut.xlsm]Consiglio_Week'!$R:$R"), 0, COLUMNS($A:A)-1 )
  ),
  ""
)</f>
        <v/>
      </c>
      <c r="AM2" s="21" t="str" cm="1">
        <f t="array" aca="1" ref="AM2" ca="1">IFERROR(
  _xlfn.XLOOKUP(
    $B2,
    INDIRECT("'[storico profut.xlsm]Consiglio_Week'!B:B"),
    OFFSET( INDIRECT("'[storico profut.xlsm]Consiglio_Week'!$R:$R"), 0, COLUMNS($A:B)-1 )
  ),
  ""
)</f>
        <v/>
      </c>
      <c r="AN2" s="21" t="str" cm="1">
        <f t="array" aca="1" ref="AN2" ca="1">IFERROR(
  _xlfn.XLOOKUP(
    $B2,
    INDIRECT("'[storico profut.xlsm]Consiglio_Week'!B:B"),
    OFFSET( INDIRECT("'[storico profut.xlsm]Consiglio_Week'!$R:$R"), 0, COLUMNS($A:C)-1 )
  ),
  ""
)</f>
        <v/>
      </c>
      <c r="AO2" s="21" t="str" cm="1">
        <f t="array" aca="1" ref="AO2" ca="1">IFERROR(
  _xlfn.XLOOKUP(
    $B2,
    INDIRECT("'[storico profut.xlsm]Consiglio_Week'!B:B"),
    OFFSET( INDIRECT("'[storico profut.xlsm]Consiglio_Week'!$R:$R"), 0, COLUMNS($A:D)-1 )
  ),
  ""
)</f>
        <v/>
      </c>
      <c r="AP2" s="21" t="str" cm="1">
        <f t="array" aca="1" ref="AP2" ca="1">IFERROR(
  _xlfn.XLOOKUP(
    $B2,
    INDIRECT("'[storico profut.xlsm]Consiglio_Week'!B:B"),
    OFFSET( INDIRECT("'[storico profut.xlsm]Consiglio_Week'!$R:$R"), 0, COLUMNS($A:E)-1 )
  ),
  ""
)</f>
        <v/>
      </c>
      <c r="AQ2" s="22" t="str" cm="1">
        <f t="array" aca="1" ref="AQ2" ca="1">IFERROR(
  _xlfn.XLOOKUP(
    $B2,
    INDIRECT("'[storico profut.xlsm]Consiglio_Week'!B:B"),
    OFFSET( INDIRECT("'[storico profut.xlsm]Consiglio_Week'!$R:$R"), 0, COLUMNS($A:F)-1 )
  ),
  ""
)</f>
        <v/>
      </c>
      <c r="AR2" s="21" t="str" cm="1">
        <f t="array" aca="1" ref="AR2" ca="1">IFERROR(
  _xlfn.XLOOKUP(
    $B2,
    INDIRECT("'[storico profut.xlsm]Consiglio_Week'!B:B"),
    OFFSET( INDIRECT("'[storico profut.xlsm]Consiglio_Week'!$R:$R"), 0, COLUMNS($A:G)-1 )
  ),
  ""
)</f>
        <v/>
      </c>
      <c r="AS2" s="21" t="str" cm="1">
        <f t="array" aca="1" ref="AS2" ca="1">IFERROR(
  _xlfn.XLOOKUP(
    $B2,
    INDIRECT("'[storico profut.xlsm]Consiglio_Week'!B:B"),
    OFFSET( INDIRECT("'[storico profut.xlsm]Consiglio_Week'!$R:$R"), 0, COLUMNS($A:H)-1 )
  ),
  ""
)</f>
        <v/>
      </c>
      <c r="AT2" s="21" t="str" cm="1">
        <f t="array" aca="1" ref="AT2" ca="1">IFERROR(
  _xlfn.XLOOKUP(
    $B2,
    INDIRECT("'[storico profut.xlsm]Consiglio_Week'!B:B"),
    OFFSET( INDIRECT("'[storico profut.xlsm]Consiglio_Week'!$R:$R"), 0, COLUMNS($A:I)-1 )
  ),
  ""
)</f>
        <v/>
      </c>
      <c r="AU2" s="22" t="str" cm="1">
        <f t="array" aca="1" ref="AU2" ca="1">IFERROR(
  _xlfn.XLOOKUP(
    $B2,
    INDIRECT("'[storico profut.xlsm]Consiglio_Week'!B:B"),
    OFFSET( INDIRECT("'[storico profut.xlsm]Consiglio_Week'!$R:$R"), 0, COLUMNS($A:J)-1 )
  ),
  ""
)</f>
        <v/>
      </c>
      <c r="AV2" s="22" t="str" cm="1">
        <f t="array" aca="1" ref="AV2" ca="1">IFERROR(
  _xlfn.XLOOKUP(
    $B2,
    INDIRECT("'[storico profut.xlsm]Consiglio_Week'!B:B"),
    OFFSET( INDIRECT("'[storico profut.xlsm]Consiglio_Week'!$R:$R"), 0, COLUMNS($A:K)-1 )
  ),
  ""
)</f>
        <v/>
      </c>
      <c r="AW2" s="22" t="str" cm="1">
        <f t="array" aca="1" ref="AW2" ca="1">IFERROR(
  _xlfn.XLOOKUP(
    $B2,
    INDIRECT("'[storico profut.xlsm]Consiglio_Week'!B:B"),
    OFFSET( INDIRECT("'[storico profut.xlsm]Consiglio_Week'!$R:$R"), 0, COLUMNS($A:L)-1 )
  ),
  ""
)</f>
        <v/>
      </c>
      <c r="AX2" s="26" t="str" cm="1">
        <f t="array" aca="1" ref="AX2" ca="1">IFERROR(
  _xlfn.XLOOKUP(
    $B2,
    INDIRECT("'[storico profut.xlsm]Consiglio_Week'!B:B"),
    OFFSET( INDIRECT("'[storico profut.xlsm]Consiglio_Week'!$R:$R"), 0, COLUMNS($A:M)-1 )
  ),
  ""
)</f>
        <v/>
      </c>
      <c r="AY2" s="22">
        <v>0</v>
      </c>
    </row>
    <row r="3" spans="1:51">
      <c r="A3" t="s">
        <v>153</v>
      </c>
      <c r="B3" t="s">
        <v>576</v>
      </c>
      <c r="C3">
        <v>20</v>
      </c>
      <c r="D3">
        <v>2</v>
      </c>
      <c r="E3" s="6">
        <v>0.625</v>
      </c>
      <c r="F3" s="6">
        <v>0.875</v>
      </c>
      <c r="G3" s="5"/>
      <c r="H3" s="5" t="s">
        <v>640</v>
      </c>
      <c r="Q3" t="s">
        <v>468</v>
      </c>
      <c r="R3">
        <v>1</v>
      </c>
      <c r="S3" t="s">
        <v>593</v>
      </c>
      <c r="AH3" t="str" cm="1">
        <f t="array" aca="1" ref="AH3" ca="1">+IFERROR(_xlfn.XLOOKUP($B3,INDIRECT("'[storico profut.xlsm]Consiglio_Week'!$B:$B"),INDIRECT("'[storico profut.xlsm]Consiglio_Week'!$I:$I")),"")</f>
        <v/>
      </c>
      <c r="AI3" t="str" cm="1">
        <f t="array" aca="1" ref="AI3" ca="1">+IFERROR(_xlfn.XLOOKUP($B3,INDIRECT("'[storico profut.xlsm]Consiglio_Week'!$B:$B"),INDIRECT("'[storico profut.xlsm]Consiglio_Week'!$L:$L")),"")</f>
        <v/>
      </c>
      <c r="AJ3" t="str" cm="1">
        <f t="array" aca="1" ref="AJ3" ca="1">+IFERROR(_xlfn.XLOOKUP($B3,INDIRECT("'[storico profut.xlsm]Consiglio_Week'!$B:$B"),INDIRECT("'[storico profut.xlsm]Consiglio_Week'!$M:$M")),"")</f>
        <v/>
      </c>
      <c r="AK3" t="str" cm="1">
        <f t="array" aca="1" ref="AK3" ca="1">+IFERROR(_xlfn.XLOOKUP($B3,INDIRECT("'[storico profut.xlsm]Consiglio_Week'!$B:$B"),INDIRECT("'[storico profut.xlsm]Consiglio_Week'!$P:$P")),"")</f>
        <v/>
      </c>
      <c r="AL3" s="21" t="str" cm="1">
        <f t="array" aca="1" ref="AL3" ca="1">IFERROR(
  _xlfn.XLOOKUP(
    $B3,
    INDIRECT("'[storico profut.xlsm]Consiglio_Week'!B:B"),
    OFFSET( INDIRECT("'[storico profut.xlsm]Consiglio_Week'!$R:$R"), 0, COLUMNS($A:A)-1 )
  ),
  ""
)</f>
        <v/>
      </c>
      <c r="AM3" s="21" t="str" cm="1">
        <f t="array" aca="1" ref="AM3" ca="1">IFERROR(
  _xlfn.XLOOKUP(
    $B3,
    INDIRECT("'[storico profut.xlsm]Consiglio_Week'!B:B"),
    OFFSET( INDIRECT("'[storico profut.xlsm]Consiglio_Week'!$R:$R"), 0, COLUMNS($A:B)-1 )
  ),
  ""
)</f>
        <v/>
      </c>
      <c r="AN3" s="21" t="str" cm="1">
        <f t="array" aca="1" ref="AN3" ca="1">IFERROR(
  _xlfn.XLOOKUP(
    $B3,
    INDIRECT("'[storico profut.xlsm]Consiglio_Week'!B:B"),
    OFFSET( INDIRECT("'[storico profut.xlsm]Consiglio_Week'!$R:$R"), 0, COLUMNS($A:C)-1 )
  ),
  ""
)</f>
        <v/>
      </c>
      <c r="AO3" s="21" t="str" cm="1">
        <f t="array" aca="1" ref="AO3" ca="1">IFERROR(
  _xlfn.XLOOKUP(
    $B3,
    INDIRECT("'[storico profut.xlsm]Consiglio_Week'!B:B"),
    OFFSET( INDIRECT("'[storico profut.xlsm]Consiglio_Week'!$R:$R"), 0, COLUMNS($A:D)-1 )
  ),
  ""
)</f>
        <v/>
      </c>
      <c r="AP3" s="21" t="str" cm="1">
        <f t="array" aca="1" ref="AP3" ca="1">IFERROR(
  _xlfn.XLOOKUP(
    $B3,
    INDIRECT("'[storico profut.xlsm]Consiglio_Week'!B:B"),
    OFFSET( INDIRECT("'[storico profut.xlsm]Consiglio_Week'!$R:$R"), 0, COLUMNS($A:E)-1 )
  ),
  ""
)</f>
        <v/>
      </c>
      <c r="AQ3" s="22" t="str" cm="1">
        <f t="array" aca="1" ref="AQ3" ca="1">IFERROR(
  _xlfn.XLOOKUP(
    $B3,
    INDIRECT("'[storico profut.xlsm]Consiglio_Week'!B:B"),
    OFFSET( INDIRECT("'[storico profut.xlsm]Consiglio_Week'!$R:$R"), 0, COLUMNS($A:F)-1 )
  ),
  ""
)</f>
        <v/>
      </c>
      <c r="AR3" s="21" t="str" cm="1">
        <f t="array" aca="1" ref="AR3" ca="1">IFERROR(
  _xlfn.XLOOKUP(
    $B3,
    INDIRECT("'[storico profut.xlsm]Consiglio_Week'!B:B"),
    OFFSET( INDIRECT("'[storico profut.xlsm]Consiglio_Week'!$R:$R"), 0, COLUMNS($A:G)-1 )
  ),
  ""
)</f>
        <v/>
      </c>
      <c r="AS3" s="21" t="str" cm="1">
        <f t="array" aca="1" ref="AS3" ca="1">IFERROR(
  _xlfn.XLOOKUP(
    $B3,
    INDIRECT("'[storico profut.xlsm]Consiglio_Week'!B:B"),
    OFFSET( INDIRECT("'[storico profut.xlsm]Consiglio_Week'!$R:$R"), 0, COLUMNS($A:H)-1 )
  ),
  ""
)</f>
        <v/>
      </c>
      <c r="AT3" s="21" t="str" cm="1">
        <f t="array" aca="1" ref="AT3" ca="1">IFERROR(
  _xlfn.XLOOKUP(
    $B3,
    INDIRECT("'[storico profut.xlsm]Consiglio_Week'!B:B"),
    OFFSET( INDIRECT("'[storico profut.xlsm]Consiglio_Week'!$R:$R"), 0, COLUMNS($A:I)-1 )
  ),
  ""
)</f>
        <v/>
      </c>
      <c r="AU3" s="22" t="str" cm="1">
        <f t="array" aca="1" ref="AU3" ca="1">IFERROR(
  _xlfn.XLOOKUP(
    $B3,
    INDIRECT("'[storico profut.xlsm]Consiglio_Week'!B:B"),
    OFFSET( INDIRECT("'[storico profut.xlsm]Consiglio_Week'!$R:$R"), 0, COLUMNS($A:J)-1 )
  ),
  ""
)</f>
        <v/>
      </c>
      <c r="AV3" s="22" t="str" cm="1">
        <f t="array" aca="1" ref="AV3" ca="1">IFERROR(
  _xlfn.XLOOKUP(
    $B3,
    INDIRECT("'[storico profut.xlsm]Consiglio_Week'!B:B"),
    OFFSET( INDIRECT("'[storico profut.xlsm]Consiglio_Week'!$R:$R"), 0, COLUMNS($A:K)-1 )
  ),
  ""
)</f>
        <v/>
      </c>
      <c r="AW3" s="22" t="str" cm="1">
        <f t="array" aca="1" ref="AW3" ca="1">IFERROR(
  _xlfn.XLOOKUP(
    $B3,
    INDIRECT("'[storico profut.xlsm]Consiglio_Week'!B:B"),
    OFFSET( INDIRECT("'[storico profut.xlsm]Consiglio_Week'!$R:$R"), 0, COLUMNS($A:L)-1 )
  ),
  ""
)</f>
        <v/>
      </c>
      <c r="AX3" s="26" t="str" cm="1">
        <f t="array" aca="1" ref="AX3" ca="1">IFERROR(
  _xlfn.XLOOKUP(
    $B3,
    INDIRECT("'[storico profut.xlsm]Consiglio_Week'!B:B"),
    OFFSET( INDIRECT("'[storico profut.xlsm]Consiglio_Week'!$R:$R"), 0, COLUMNS($A:M)-1 )
  ),
  ""
)</f>
        <v/>
      </c>
      <c r="AY3" s="22">
        <v>0</v>
      </c>
    </row>
    <row r="4" spans="1:51">
      <c r="A4" t="s">
        <v>154</v>
      </c>
      <c r="B4" t="s">
        <v>577</v>
      </c>
      <c r="C4">
        <v>20</v>
      </c>
      <c r="D4">
        <v>2</v>
      </c>
      <c r="E4" s="6">
        <v>0.375</v>
      </c>
      <c r="F4" s="6">
        <v>0.625</v>
      </c>
      <c r="G4" s="7"/>
      <c r="H4" s="5" t="s">
        <v>640</v>
      </c>
      <c r="Q4" t="s">
        <v>468</v>
      </c>
      <c r="R4">
        <v>1</v>
      </c>
      <c r="S4" t="s">
        <v>593</v>
      </c>
      <c r="AH4" t="str" cm="1">
        <f t="array" aca="1" ref="AH4" ca="1">+IFERROR(_xlfn.XLOOKUP($B4,INDIRECT("'[storico profut.xlsm]Consiglio_Week'!$B:$B"),INDIRECT("'[storico profut.xlsm]Consiglio_Week'!$I:$I")),"")</f>
        <v/>
      </c>
      <c r="AI4" t="str" cm="1">
        <f t="array" aca="1" ref="AI4" ca="1">+IFERROR(_xlfn.XLOOKUP($B4,INDIRECT("'[storico profut.xlsm]Consiglio_Week'!$B:$B"),INDIRECT("'[storico profut.xlsm]Consiglio_Week'!$L:$L")),"")</f>
        <v/>
      </c>
      <c r="AJ4" t="str" cm="1">
        <f t="array" aca="1" ref="AJ4" ca="1">+IFERROR(_xlfn.XLOOKUP($B4,INDIRECT("'[storico profut.xlsm]Consiglio_Week'!$B:$B"),INDIRECT("'[storico profut.xlsm]Consiglio_Week'!$M:$M")),"")</f>
        <v/>
      </c>
      <c r="AK4" t="str" cm="1">
        <f t="array" aca="1" ref="AK4" ca="1">+IFERROR(_xlfn.XLOOKUP($B4,INDIRECT("'[storico profut.xlsm]Consiglio_Week'!$B:$B"),INDIRECT("'[storico profut.xlsm]Consiglio_Week'!$P:$P")),"")</f>
        <v/>
      </c>
      <c r="AL4" s="21" t="str" cm="1">
        <f t="array" aca="1" ref="AL4" ca="1">IFERROR(
  _xlfn.XLOOKUP(
    $B4,
    INDIRECT("'[storico profut.xlsm]Consiglio_Week'!B:B"),
    OFFSET( INDIRECT("'[storico profut.xlsm]Consiglio_Week'!$R:$R"), 0, COLUMNS($A:A)-1 )
  ),
  ""
)</f>
        <v/>
      </c>
      <c r="AM4" s="21" t="str" cm="1">
        <f t="array" aca="1" ref="AM4" ca="1">IFERROR(
  _xlfn.XLOOKUP(
    $B4,
    INDIRECT("'[storico profut.xlsm]Consiglio_Week'!B:B"),
    OFFSET( INDIRECT("'[storico profut.xlsm]Consiglio_Week'!$R:$R"), 0, COLUMNS($A:B)-1 )
  ),
  ""
)</f>
        <v/>
      </c>
      <c r="AN4" s="21" t="str" cm="1">
        <f t="array" aca="1" ref="AN4" ca="1">IFERROR(
  _xlfn.XLOOKUP(
    $B4,
    INDIRECT("'[storico profut.xlsm]Consiglio_Week'!B:B"),
    OFFSET( INDIRECT("'[storico profut.xlsm]Consiglio_Week'!$R:$R"), 0, COLUMNS($A:C)-1 )
  ),
  ""
)</f>
        <v/>
      </c>
      <c r="AO4" s="21" t="str" cm="1">
        <f t="array" aca="1" ref="AO4" ca="1">IFERROR(
  _xlfn.XLOOKUP(
    $B4,
    INDIRECT("'[storico profut.xlsm]Consiglio_Week'!B:B"),
    OFFSET( INDIRECT("'[storico profut.xlsm]Consiglio_Week'!$R:$R"), 0, COLUMNS($A:D)-1 )
  ),
  ""
)</f>
        <v/>
      </c>
      <c r="AP4" s="21" t="str" cm="1">
        <f t="array" aca="1" ref="AP4" ca="1">IFERROR(
  _xlfn.XLOOKUP(
    $B4,
    INDIRECT("'[storico profut.xlsm]Consiglio_Week'!B:B"),
    OFFSET( INDIRECT("'[storico profut.xlsm]Consiglio_Week'!$R:$R"), 0, COLUMNS($A:E)-1 )
  ),
  ""
)</f>
        <v/>
      </c>
      <c r="AQ4" s="22" t="str" cm="1">
        <f t="array" aca="1" ref="AQ4" ca="1">IFERROR(
  _xlfn.XLOOKUP(
    $B4,
    INDIRECT("'[storico profut.xlsm]Consiglio_Week'!B:B"),
    OFFSET( INDIRECT("'[storico profut.xlsm]Consiglio_Week'!$R:$R"), 0, COLUMNS($A:F)-1 )
  ),
  ""
)</f>
        <v/>
      </c>
      <c r="AR4" s="21" t="str" cm="1">
        <f t="array" aca="1" ref="AR4" ca="1">IFERROR(
  _xlfn.XLOOKUP(
    $B4,
    INDIRECT("'[storico profut.xlsm]Consiglio_Week'!B:B"),
    OFFSET( INDIRECT("'[storico profut.xlsm]Consiglio_Week'!$R:$R"), 0, COLUMNS($A:G)-1 )
  ),
  ""
)</f>
        <v/>
      </c>
      <c r="AS4" s="21" t="str" cm="1">
        <f t="array" aca="1" ref="AS4" ca="1">IFERROR(
  _xlfn.XLOOKUP(
    $B4,
    INDIRECT("'[storico profut.xlsm]Consiglio_Week'!B:B"),
    OFFSET( INDIRECT("'[storico profut.xlsm]Consiglio_Week'!$R:$R"), 0, COLUMNS($A:H)-1 )
  ),
  ""
)</f>
        <v/>
      </c>
      <c r="AT4" s="21" t="str" cm="1">
        <f t="array" aca="1" ref="AT4" ca="1">IFERROR(
  _xlfn.XLOOKUP(
    $B4,
    INDIRECT("'[storico profut.xlsm]Consiglio_Week'!B:B"),
    OFFSET( INDIRECT("'[storico profut.xlsm]Consiglio_Week'!$R:$R"), 0, COLUMNS($A:I)-1 )
  ),
  ""
)</f>
        <v/>
      </c>
      <c r="AU4" s="22" t="str" cm="1">
        <f t="array" aca="1" ref="AU4" ca="1">IFERROR(
  _xlfn.XLOOKUP(
    $B4,
    INDIRECT("'[storico profut.xlsm]Consiglio_Week'!B:B"),
    OFFSET( INDIRECT("'[storico profut.xlsm]Consiglio_Week'!$R:$R"), 0, COLUMNS($A:J)-1 )
  ),
  ""
)</f>
        <v/>
      </c>
      <c r="AV4" s="22" t="str" cm="1">
        <f t="array" aca="1" ref="AV4" ca="1">IFERROR(
  _xlfn.XLOOKUP(
    $B4,
    INDIRECT("'[storico profut.xlsm]Consiglio_Week'!B:B"),
    OFFSET( INDIRECT("'[storico profut.xlsm]Consiglio_Week'!$R:$R"), 0, COLUMNS($A:K)-1 )
  ),
  ""
)</f>
        <v/>
      </c>
      <c r="AW4" s="22" t="str" cm="1">
        <f t="array" aca="1" ref="AW4" ca="1">IFERROR(
  _xlfn.XLOOKUP(
    $B4,
    INDIRECT("'[storico profut.xlsm]Consiglio_Week'!B:B"),
    OFFSET( INDIRECT("'[storico profut.xlsm]Consiglio_Week'!$R:$R"), 0, COLUMNS($A:L)-1 )
  ),
  ""
)</f>
        <v/>
      </c>
      <c r="AX4" s="26" t="str" cm="1">
        <f t="array" aca="1" ref="AX4" ca="1">IFERROR(
  _xlfn.XLOOKUP(
    $B4,
    INDIRECT("'[storico profut.xlsm]Consiglio_Week'!B:B"),
    OFFSET( INDIRECT("'[storico profut.xlsm]Consiglio_Week'!$R:$R"), 0, COLUMNS($A:M)-1 )
  ),
  ""
)</f>
        <v/>
      </c>
      <c r="AY4" s="22">
        <v>0</v>
      </c>
    </row>
    <row r="5" spans="1:51">
      <c r="A5" t="s">
        <v>591</v>
      </c>
      <c r="B5" t="s">
        <v>578</v>
      </c>
      <c r="C5">
        <v>20</v>
      </c>
      <c r="D5">
        <v>2</v>
      </c>
      <c r="E5" s="6">
        <v>0.375</v>
      </c>
      <c r="F5" s="6">
        <v>0.625</v>
      </c>
      <c r="G5" s="5"/>
      <c r="H5" s="5" t="s">
        <v>640</v>
      </c>
      <c r="Q5" t="s">
        <v>468</v>
      </c>
      <c r="R5">
        <v>1</v>
      </c>
      <c r="S5" t="s">
        <v>593</v>
      </c>
      <c r="AH5" t="str" cm="1">
        <f t="array" aca="1" ref="AH5" ca="1">+IFERROR(_xlfn.XLOOKUP($B5,INDIRECT("'[storico profut.xlsm]Consiglio_Week'!$B:$B"),INDIRECT("'[storico profut.xlsm]Consiglio_Week'!$I:$I")),"")</f>
        <v/>
      </c>
      <c r="AI5" t="str" cm="1">
        <f t="array" aca="1" ref="AI5" ca="1">+IFERROR(_xlfn.XLOOKUP($B5,INDIRECT("'[storico profut.xlsm]Consiglio_Week'!$B:$B"),INDIRECT("'[storico profut.xlsm]Consiglio_Week'!$L:$L")),"")</f>
        <v/>
      </c>
      <c r="AJ5" t="str" cm="1">
        <f t="array" aca="1" ref="AJ5" ca="1">+IFERROR(_xlfn.XLOOKUP($B5,INDIRECT("'[storico profut.xlsm]Consiglio_Week'!$B:$B"),INDIRECT("'[storico profut.xlsm]Consiglio_Week'!$M:$M")),"")</f>
        <v/>
      </c>
      <c r="AK5" t="str" cm="1">
        <f t="array" aca="1" ref="AK5" ca="1">+IFERROR(_xlfn.XLOOKUP($B5,INDIRECT("'[storico profut.xlsm]Consiglio_Week'!$B:$B"),INDIRECT("'[storico profut.xlsm]Consiglio_Week'!$P:$P")),"")</f>
        <v/>
      </c>
      <c r="AL5" s="21" t="str" cm="1">
        <f t="array" aca="1" ref="AL5" ca="1">IFERROR(
  _xlfn.XLOOKUP(
    $B5,
    INDIRECT("'[storico profut.xlsm]Consiglio_Week'!B:B"),
    OFFSET( INDIRECT("'[storico profut.xlsm]Consiglio_Week'!$R:$R"), 0, COLUMNS($A:A)-1 )
  ),
  ""
)</f>
        <v/>
      </c>
      <c r="AM5" s="21" t="str" cm="1">
        <f t="array" aca="1" ref="AM5" ca="1">IFERROR(
  _xlfn.XLOOKUP(
    $B5,
    INDIRECT("'[storico profut.xlsm]Consiglio_Week'!B:B"),
    OFFSET( INDIRECT("'[storico profut.xlsm]Consiglio_Week'!$R:$R"), 0, COLUMNS($A:B)-1 )
  ),
  ""
)</f>
        <v/>
      </c>
      <c r="AN5" s="21" t="str" cm="1">
        <f t="array" aca="1" ref="AN5" ca="1">IFERROR(
  _xlfn.XLOOKUP(
    $B5,
    INDIRECT("'[storico profut.xlsm]Consiglio_Week'!B:B"),
    OFFSET( INDIRECT("'[storico profut.xlsm]Consiglio_Week'!$R:$R"), 0, COLUMNS($A:C)-1 )
  ),
  ""
)</f>
        <v/>
      </c>
      <c r="AO5" s="21" t="str" cm="1">
        <f t="array" aca="1" ref="AO5" ca="1">IFERROR(
  _xlfn.XLOOKUP(
    $B5,
    INDIRECT("'[storico profut.xlsm]Consiglio_Week'!B:B"),
    OFFSET( INDIRECT("'[storico profut.xlsm]Consiglio_Week'!$R:$R"), 0, COLUMNS($A:D)-1 )
  ),
  ""
)</f>
        <v/>
      </c>
      <c r="AP5" s="21" t="str" cm="1">
        <f t="array" aca="1" ref="AP5" ca="1">IFERROR(
  _xlfn.XLOOKUP(
    $B5,
    INDIRECT("'[storico profut.xlsm]Consiglio_Week'!B:B"),
    OFFSET( INDIRECT("'[storico profut.xlsm]Consiglio_Week'!$R:$R"), 0, COLUMNS($A:E)-1 )
  ),
  ""
)</f>
        <v/>
      </c>
      <c r="AQ5" s="22" t="str" cm="1">
        <f t="array" aca="1" ref="AQ5" ca="1">IFERROR(
  _xlfn.XLOOKUP(
    $B5,
    INDIRECT("'[storico profut.xlsm]Consiglio_Week'!B:B"),
    OFFSET( INDIRECT("'[storico profut.xlsm]Consiglio_Week'!$R:$R"), 0, COLUMNS($A:F)-1 )
  ),
  ""
)</f>
        <v/>
      </c>
      <c r="AR5" s="21" t="str" cm="1">
        <f t="array" aca="1" ref="AR5" ca="1">IFERROR(
  _xlfn.XLOOKUP(
    $B5,
    INDIRECT("'[storico profut.xlsm]Consiglio_Week'!B:B"),
    OFFSET( INDIRECT("'[storico profut.xlsm]Consiglio_Week'!$R:$R"), 0, COLUMNS($A:G)-1 )
  ),
  ""
)</f>
        <v/>
      </c>
      <c r="AS5" s="21" t="str" cm="1">
        <f t="array" aca="1" ref="AS5" ca="1">IFERROR(
  _xlfn.XLOOKUP(
    $B5,
    INDIRECT("'[storico profut.xlsm]Consiglio_Week'!B:B"),
    OFFSET( INDIRECT("'[storico profut.xlsm]Consiglio_Week'!$R:$R"), 0, COLUMNS($A:H)-1 )
  ),
  ""
)</f>
        <v/>
      </c>
      <c r="AT5" s="21" t="str" cm="1">
        <f t="array" aca="1" ref="AT5" ca="1">IFERROR(
  _xlfn.XLOOKUP(
    $B5,
    INDIRECT("'[storico profut.xlsm]Consiglio_Week'!B:B"),
    OFFSET( INDIRECT("'[storico profut.xlsm]Consiglio_Week'!$R:$R"), 0, COLUMNS($A:I)-1 )
  ),
  ""
)</f>
        <v/>
      </c>
      <c r="AU5" s="22" t="str" cm="1">
        <f t="array" aca="1" ref="AU5" ca="1">IFERROR(
  _xlfn.XLOOKUP(
    $B5,
    INDIRECT("'[storico profut.xlsm]Consiglio_Week'!B:B"),
    OFFSET( INDIRECT("'[storico profut.xlsm]Consiglio_Week'!$R:$R"), 0, COLUMNS($A:J)-1 )
  ),
  ""
)</f>
        <v/>
      </c>
      <c r="AV5" s="22" t="str" cm="1">
        <f t="array" aca="1" ref="AV5" ca="1">IFERROR(
  _xlfn.XLOOKUP(
    $B5,
    INDIRECT("'[storico profut.xlsm]Consiglio_Week'!B:B"),
    OFFSET( INDIRECT("'[storico profut.xlsm]Consiglio_Week'!$R:$R"), 0, COLUMNS($A:K)-1 )
  ),
  ""
)</f>
        <v/>
      </c>
      <c r="AW5" s="22" t="str" cm="1">
        <f t="array" aca="1" ref="AW5" ca="1">IFERROR(
  _xlfn.XLOOKUP(
    $B5,
    INDIRECT("'[storico profut.xlsm]Consiglio_Week'!B:B"),
    OFFSET( INDIRECT("'[storico profut.xlsm]Consiglio_Week'!$R:$R"), 0, COLUMNS($A:L)-1 )
  ),
  ""
)</f>
        <v/>
      </c>
      <c r="AX5" s="26" t="str" cm="1">
        <f t="array" aca="1" ref="AX5" ca="1">IFERROR(
  _xlfn.XLOOKUP(
    $B5,
    INDIRECT("'[storico profut.xlsm]Consiglio_Week'!B:B"),
    OFFSET( INDIRECT("'[storico profut.xlsm]Consiglio_Week'!$R:$R"), 0, COLUMNS($A:M)-1 )
  ),
  ""
)</f>
        <v/>
      </c>
      <c r="AY5" s="22">
        <v>0</v>
      </c>
    </row>
    <row r="6" spans="1:51">
      <c r="A6" t="s">
        <v>155</v>
      </c>
      <c r="B6" t="s">
        <v>579</v>
      </c>
      <c r="C6">
        <v>20</v>
      </c>
      <c r="D6">
        <v>2</v>
      </c>
      <c r="E6" s="6">
        <v>0.375</v>
      </c>
      <c r="F6" s="6">
        <v>0.625</v>
      </c>
      <c r="G6" s="5"/>
      <c r="H6" s="5" t="s">
        <v>640</v>
      </c>
      <c r="Q6" t="s">
        <v>468</v>
      </c>
      <c r="R6">
        <v>1</v>
      </c>
      <c r="S6" t="s">
        <v>593</v>
      </c>
      <c r="AH6" t="str" cm="1">
        <f t="array" aca="1" ref="AH6" ca="1">+IFERROR(_xlfn.XLOOKUP($B6,INDIRECT("'[storico profut.xlsm]Consiglio_Week'!$B:$B"),INDIRECT("'[storico profut.xlsm]Consiglio_Week'!$I:$I")),"")</f>
        <v/>
      </c>
      <c r="AI6" t="str" cm="1">
        <f t="array" aca="1" ref="AI6" ca="1">+IFERROR(_xlfn.XLOOKUP($B6,INDIRECT("'[storico profut.xlsm]Consiglio_Week'!$B:$B"),INDIRECT("'[storico profut.xlsm]Consiglio_Week'!$L:$L")),"")</f>
        <v/>
      </c>
      <c r="AJ6" t="str" cm="1">
        <f t="array" aca="1" ref="AJ6" ca="1">+IFERROR(_xlfn.XLOOKUP($B6,INDIRECT("'[storico profut.xlsm]Consiglio_Week'!$B:$B"),INDIRECT("'[storico profut.xlsm]Consiglio_Week'!$M:$M")),"")</f>
        <v/>
      </c>
      <c r="AK6" t="str" cm="1">
        <f t="array" aca="1" ref="AK6" ca="1">+IFERROR(_xlfn.XLOOKUP($B6,INDIRECT("'[storico profut.xlsm]Consiglio_Week'!$B:$B"),INDIRECT("'[storico profut.xlsm]Consiglio_Week'!$P:$P")),"")</f>
        <v/>
      </c>
      <c r="AL6" s="21" t="str" cm="1">
        <f t="array" aca="1" ref="AL6" ca="1">IFERROR(
  _xlfn.XLOOKUP(
    $B6,
    INDIRECT("'[storico profut.xlsm]Consiglio_Week'!B:B"),
    OFFSET( INDIRECT("'[storico profut.xlsm]Consiglio_Week'!$R:$R"), 0, COLUMNS($A:A)-1 )
  ),
  ""
)</f>
        <v/>
      </c>
      <c r="AM6" s="21" t="str" cm="1">
        <f t="array" aca="1" ref="AM6" ca="1">IFERROR(
  _xlfn.XLOOKUP(
    $B6,
    INDIRECT("'[storico profut.xlsm]Consiglio_Week'!B:B"),
    OFFSET( INDIRECT("'[storico profut.xlsm]Consiglio_Week'!$R:$R"), 0, COLUMNS($A:B)-1 )
  ),
  ""
)</f>
        <v/>
      </c>
      <c r="AN6" s="21" t="str" cm="1">
        <f t="array" aca="1" ref="AN6" ca="1">IFERROR(
  _xlfn.XLOOKUP(
    $B6,
    INDIRECT("'[storico profut.xlsm]Consiglio_Week'!B:B"),
    OFFSET( INDIRECT("'[storico profut.xlsm]Consiglio_Week'!$R:$R"), 0, COLUMNS($A:C)-1 )
  ),
  ""
)</f>
        <v/>
      </c>
      <c r="AO6" s="21" t="str" cm="1">
        <f t="array" aca="1" ref="AO6" ca="1">IFERROR(
  _xlfn.XLOOKUP(
    $B6,
    INDIRECT("'[storico profut.xlsm]Consiglio_Week'!B:B"),
    OFFSET( INDIRECT("'[storico profut.xlsm]Consiglio_Week'!$R:$R"), 0, COLUMNS($A:D)-1 )
  ),
  ""
)</f>
        <v/>
      </c>
      <c r="AP6" s="21" t="str" cm="1">
        <f t="array" aca="1" ref="AP6" ca="1">IFERROR(
  _xlfn.XLOOKUP(
    $B6,
    INDIRECT("'[storico profut.xlsm]Consiglio_Week'!B:B"),
    OFFSET( INDIRECT("'[storico profut.xlsm]Consiglio_Week'!$R:$R"), 0, COLUMNS($A:E)-1 )
  ),
  ""
)</f>
        <v/>
      </c>
      <c r="AQ6" s="22" t="str" cm="1">
        <f t="array" aca="1" ref="AQ6" ca="1">IFERROR(
  _xlfn.XLOOKUP(
    $B6,
    INDIRECT("'[storico profut.xlsm]Consiglio_Week'!B:B"),
    OFFSET( INDIRECT("'[storico profut.xlsm]Consiglio_Week'!$R:$R"), 0, COLUMNS($A:F)-1 )
  ),
  ""
)</f>
        <v/>
      </c>
      <c r="AR6" s="21" t="str" cm="1">
        <f t="array" aca="1" ref="AR6" ca="1">IFERROR(
  _xlfn.XLOOKUP(
    $B6,
    INDIRECT("'[storico profut.xlsm]Consiglio_Week'!B:B"),
    OFFSET( INDIRECT("'[storico profut.xlsm]Consiglio_Week'!$R:$R"), 0, COLUMNS($A:G)-1 )
  ),
  ""
)</f>
        <v/>
      </c>
      <c r="AS6" s="21" t="str" cm="1">
        <f t="array" aca="1" ref="AS6" ca="1">IFERROR(
  _xlfn.XLOOKUP(
    $B6,
    INDIRECT("'[storico profut.xlsm]Consiglio_Week'!B:B"),
    OFFSET( INDIRECT("'[storico profut.xlsm]Consiglio_Week'!$R:$R"), 0, COLUMNS($A:H)-1 )
  ),
  ""
)</f>
        <v/>
      </c>
      <c r="AT6" s="21" t="str" cm="1">
        <f t="array" aca="1" ref="AT6" ca="1">IFERROR(
  _xlfn.XLOOKUP(
    $B6,
    INDIRECT("'[storico profut.xlsm]Consiglio_Week'!B:B"),
    OFFSET( INDIRECT("'[storico profut.xlsm]Consiglio_Week'!$R:$R"), 0, COLUMNS($A:I)-1 )
  ),
  ""
)</f>
        <v/>
      </c>
      <c r="AU6" s="22" t="str" cm="1">
        <f t="array" aca="1" ref="AU6" ca="1">IFERROR(
  _xlfn.XLOOKUP(
    $B6,
    INDIRECT("'[storico profut.xlsm]Consiglio_Week'!B:B"),
    OFFSET( INDIRECT("'[storico profut.xlsm]Consiglio_Week'!$R:$R"), 0, COLUMNS($A:J)-1 )
  ),
  ""
)</f>
        <v/>
      </c>
      <c r="AV6" s="22" t="str" cm="1">
        <f t="array" aca="1" ref="AV6" ca="1">IFERROR(
  _xlfn.XLOOKUP(
    $B6,
    INDIRECT("'[storico profut.xlsm]Consiglio_Week'!B:B"),
    OFFSET( INDIRECT("'[storico profut.xlsm]Consiglio_Week'!$R:$R"), 0, COLUMNS($A:K)-1 )
  ),
  ""
)</f>
        <v/>
      </c>
      <c r="AW6" s="22" t="str" cm="1">
        <f t="array" aca="1" ref="AW6" ca="1">IFERROR(
  _xlfn.XLOOKUP(
    $B6,
    INDIRECT("'[storico profut.xlsm]Consiglio_Week'!B:B"),
    OFFSET( INDIRECT("'[storico profut.xlsm]Consiglio_Week'!$R:$R"), 0, COLUMNS($A:L)-1 )
  ),
  ""
)</f>
        <v/>
      </c>
      <c r="AX6" s="26" t="str" cm="1">
        <f t="array" aca="1" ref="AX6" ca="1">IFERROR(
  _xlfn.XLOOKUP(
    $B6,
    INDIRECT("'[storico profut.xlsm]Consiglio_Week'!B:B"),
    OFFSET( INDIRECT("'[storico profut.xlsm]Consiglio_Week'!$R:$R"), 0, COLUMNS($A:M)-1 )
  ),
  ""
)</f>
        <v/>
      </c>
      <c r="AY6" s="22">
        <v>0</v>
      </c>
    </row>
    <row r="7" spans="1:51">
      <c r="A7" t="s">
        <v>156</v>
      </c>
      <c r="B7" t="s">
        <v>580</v>
      </c>
      <c r="C7">
        <v>20</v>
      </c>
      <c r="D7">
        <v>2</v>
      </c>
      <c r="E7" s="16">
        <v>0.66666666666666663</v>
      </c>
      <c r="F7" s="16">
        <v>0.83333333333333337</v>
      </c>
      <c r="G7" s="5"/>
      <c r="H7" s="5" t="s">
        <v>640</v>
      </c>
      <c r="Q7" t="s">
        <v>468</v>
      </c>
      <c r="R7">
        <v>0</v>
      </c>
      <c r="S7" t="s">
        <v>593</v>
      </c>
      <c r="AH7" t="str" cm="1">
        <f t="array" aca="1" ref="AH7" ca="1">+IFERROR(_xlfn.XLOOKUP($B7,INDIRECT("'[storico profut.xlsm]Consiglio_Week'!$B:$B"),INDIRECT("'[storico profut.xlsm]Consiglio_Week'!$I:$I")),"")</f>
        <v/>
      </c>
      <c r="AI7" t="str" cm="1">
        <f t="array" aca="1" ref="AI7" ca="1">+IFERROR(_xlfn.XLOOKUP($B7,INDIRECT("'[storico profut.xlsm]Consiglio_Week'!$B:$B"),INDIRECT("'[storico profut.xlsm]Consiglio_Week'!$L:$L")),"")</f>
        <v/>
      </c>
      <c r="AJ7" t="str" cm="1">
        <f t="array" aca="1" ref="AJ7" ca="1">+IFERROR(_xlfn.XLOOKUP($B7,INDIRECT("'[storico profut.xlsm]Consiglio_Week'!$B:$B"),INDIRECT("'[storico profut.xlsm]Consiglio_Week'!$M:$M")),"")</f>
        <v/>
      </c>
      <c r="AK7" t="str" cm="1">
        <f t="array" aca="1" ref="AK7" ca="1">+IFERROR(_xlfn.XLOOKUP($B7,INDIRECT("'[storico profut.xlsm]Consiglio_Week'!$B:$B"),INDIRECT("'[storico profut.xlsm]Consiglio_Week'!$P:$P")),"")</f>
        <v/>
      </c>
      <c r="AL7" s="21" t="str" cm="1">
        <f t="array" aca="1" ref="AL7" ca="1">IFERROR(
  _xlfn.XLOOKUP(
    $B7,
    INDIRECT("'[storico profut.xlsm]Consiglio_Week'!B:B"),
    OFFSET( INDIRECT("'[storico profut.xlsm]Consiglio_Week'!$R:$R"), 0, COLUMNS($A:A)-1 )
  ),
  ""
)</f>
        <v/>
      </c>
      <c r="AM7" s="21" t="str" cm="1">
        <f t="array" aca="1" ref="AM7" ca="1">IFERROR(
  _xlfn.XLOOKUP(
    $B7,
    INDIRECT("'[storico profut.xlsm]Consiglio_Week'!B:B"),
    OFFSET( INDIRECT("'[storico profut.xlsm]Consiglio_Week'!$R:$R"), 0, COLUMNS($A:B)-1 )
  ),
  ""
)</f>
        <v/>
      </c>
      <c r="AN7" s="21" t="str" cm="1">
        <f t="array" aca="1" ref="AN7" ca="1">IFERROR(
  _xlfn.XLOOKUP(
    $B7,
    INDIRECT("'[storico profut.xlsm]Consiglio_Week'!B:B"),
    OFFSET( INDIRECT("'[storico profut.xlsm]Consiglio_Week'!$R:$R"), 0, COLUMNS($A:C)-1 )
  ),
  ""
)</f>
        <v/>
      </c>
      <c r="AO7" s="21" t="str" cm="1">
        <f t="array" aca="1" ref="AO7" ca="1">IFERROR(
  _xlfn.XLOOKUP(
    $B7,
    INDIRECT("'[storico profut.xlsm]Consiglio_Week'!B:B"),
    OFFSET( INDIRECT("'[storico profut.xlsm]Consiglio_Week'!$R:$R"), 0, COLUMNS($A:D)-1 )
  ),
  ""
)</f>
        <v/>
      </c>
      <c r="AP7" s="21" t="str" cm="1">
        <f t="array" aca="1" ref="AP7" ca="1">IFERROR(
  _xlfn.XLOOKUP(
    $B7,
    INDIRECT("'[storico profut.xlsm]Consiglio_Week'!B:B"),
    OFFSET( INDIRECT("'[storico profut.xlsm]Consiglio_Week'!$R:$R"), 0, COLUMNS($A:E)-1 )
  ),
  ""
)</f>
        <v/>
      </c>
      <c r="AQ7" s="22" t="str" cm="1">
        <f t="array" aca="1" ref="AQ7" ca="1">IFERROR(
  _xlfn.XLOOKUP(
    $B7,
    INDIRECT("'[storico profut.xlsm]Consiglio_Week'!B:B"),
    OFFSET( INDIRECT("'[storico profut.xlsm]Consiglio_Week'!$R:$R"), 0, COLUMNS($A:F)-1 )
  ),
  ""
)</f>
        <v/>
      </c>
      <c r="AR7" s="21" t="str" cm="1">
        <f t="array" aca="1" ref="AR7" ca="1">IFERROR(
  _xlfn.XLOOKUP(
    $B7,
    INDIRECT("'[storico profut.xlsm]Consiglio_Week'!B:B"),
    OFFSET( INDIRECT("'[storico profut.xlsm]Consiglio_Week'!$R:$R"), 0, COLUMNS($A:G)-1 )
  ),
  ""
)</f>
        <v/>
      </c>
      <c r="AS7" s="21" t="str" cm="1">
        <f t="array" aca="1" ref="AS7" ca="1">IFERROR(
  _xlfn.XLOOKUP(
    $B7,
    INDIRECT("'[storico profut.xlsm]Consiglio_Week'!B:B"),
    OFFSET( INDIRECT("'[storico profut.xlsm]Consiglio_Week'!$R:$R"), 0, COLUMNS($A:H)-1 )
  ),
  ""
)</f>
        <v/>
      </c>
      <c r="AT7" s="21" t="str" cm="1">
        <f t="array" aca="1" ref="AT7" ca="1">IFERROR(
  _xlfn.XLOOKUP(
    $B7,
    INDIRECT("'[storico profut.xlsm]Consiglio_Week'!B:B"),
    OFFSET( INDIRECT("'[storico profut.xlsm]Consiglio_Week'!$R:$R"), 0, COLUMNS($A:I)-1 )
  ),
  ""
)</f>
        <v/>
      </c>
      <c r="AU7" s="22" t="str" cm="1">
        <f t="array" aca="1" ref="AU7" ca="1">IFERROR(
  _xlfn.XLOOKUP(
    $B7,
    INDIRECT("'[storico profut.xlsm]Consiglio_Week'!B:B"),
    OFFSET( INDIRECT("'[storico profut.xlsm]Consiglio_Week'!$R:$R"), 0, COLUMNS($A:J)-1 )
  ),
  ""
)</f>
        <v/>
      </c>
      <c r="AV7" s="22" t="str" cm="1">
        <f t="array" aca="1" ref="AV7" ca="1">IFERROR(
  _xlfn.XLOOKUP(
    $B7,
    INDIRECT("'[storico profut.xlsm]Consiglio_Week'!B:B"),
    OFFSET( INDIRECT("'[storico profut.xlsm]Consiglio_Week'!$R:$R"), 0, COLUMNS($A:K)-1 )
  ),
  ""
)</f>
        <v/>
      </c>
      <c r="AW7" s="22" t="str" cm="1">
        <f t="array" aca="1" ref="AW7" ca="1">IFERROR(
  _xlfn.XLOOKUP(
    $B7,
    INDIRECT("'[storico profut.xlsm]Consiglio_Week'!B:B"),
    OFFSET( INDIRECT("'[storico profut.xlsm]Consiglio_Week'!$R:$R"), 0, COLUMNS($A:L)-1 )
  ),
  ""
)</f>
        <v/>
      </c>
      <c r="AX7" s="26" t="str" cm="1">
        <f t="array" aca="1" ref="AX7" ca="1">IFERROR(
  _xlfn.XLOOKUP(
    $B7,
    INDIRECT("'[storico profut.xlsm]Consiglio_Week'!B:B"),
    OFFSET( INDIRECT("'[storico profut.xlsm]Consiglio_Week'!$R:$R"), 0, COLUMNS($A:M)-1 )
  ),
  ""
)</f>
        <v/>
      </c>
      <c r="AY7" s="22" t="s">
        <v>622</v>
      </c>
    </row>
    <row r="8" spans="1:51">
      <c r="A8" t="s">
        <v>157</v>
      </c>
      <c r="B8" t="s">
        <v>581</v>
      </c>
      <c r="C8">
        <v>20</v>
      </c>
      <c r="D8">
        <v>2</v>
      </c>
      <c r="E8" s="6">
        <v>0.625</v>
      </c>
      <c r="F8" s="6">
        <v>0.875</v>
      </c>
      <c r="G8" s="5"/>
      <c r="H8" s="5" t="s">
        <v>640</v>
      </c>
      <c r="Q8" t="s">
        <v>468</v>
      </c>
      <c r="R8">
        <v>1</v>
      </c>
      <c r="S8" t="s">
        <v>593</v>
      </c>
      <c r="AH8" t="str" cm="1">
        <f t="array" aca="1" ref="AH8" ca="1">+IFERROR(_xlfn.XLOOKUP($B8,INDIRECT("'[storico profut.xlsm]Consiglio_Week'!$B:$B"),INDIRECT("'[storico profut.xlsm]Consiglio_Week'!$I:$I")),"")</f>
        <v/>
      </c>
      <c r="AI8" t="str" cm="1">
        <f t="array" aca="1" ref="AI8" ca="1">+IFERROR(_xlfn.XLOOKUP($B8,INDIRECT("'[storico profut.xlsm]Consiglio_Week'!$B:$B"),INDIRECT("'[storico profut.xlsm]Consiglio_Week'!$L:$L")),"")</f>
        <v/>
      </c>
      <c r="AJ8" t="str" cm="1">
        <f t="array" aca="1" ref="AJ8" ca="1">+IFERROR(_xlfn.XLOOKUP($B8,INDIRECT("'[storico profut.xlsm]Consiglio_Week'!$B:$B"),INDIRECT("'[storico profut.xlsm]Consiglio_Week'!$M:$M")),"")</f>
        <v/>
      </c>
      <c r="AK8" t="str" cm="1">
        <f t="array" aca="1" ref="AK8" ca="1">+IFERROR(_xlfn.XLOOKUP($B8,INDIRECT("'[storico profut.xlsm]Consiglio_Week'!$B:$B"),INDIRECT("'[storico profut.xlsm]Consiglio_Week'!$P:$P")),"")</f>
        <v/>
      </c>
      <c r="AL8" s="21" t="str" cm="1">
        <f t="array" aca="1" ref="AL8" ca="1">IFERROR(
  _xlfn.XLOOKUP(
    $B8,
    INDIRECT("'[storico profut.xlsm]Consiglio_Week'!B:B"),
    OFFSET( INDIRECT("'[storico profut.xlsm]Consiglio_Week'!$R:$R"), 0, COLUMNS($A:A)-1 )
  ),
  ""
)</f>
        <v/>
      </c>
      <c r="AM8" s="21" t="str" cm="1">
        <f t="array" aca="1" ref="AM8" ca="1">IFERROR(
  _xlfn.XLOOKUP(
    $B8,
    INDIRECT("'[storico profut.xlsm]Consiglio_Week'!B:B"),
    OFFSET( INDIRECT("'[storico profut.xlsm]Consiglio_Week'!$R:$R"), 0, COLUMNS($A:B)-1 )
  ),
  ""
)</f>
        <v/>
      </c>
      <c r="AN8" s="21" t="str" cm="1">
        <f t="array" aca="1" ref="AN8" ca="1">IFERROR(
  _xlfn.XLOOKUP(
    $B8,
    INDIRECT("'[storico profut.xlsm]Consiglio_Week'!B:B"),
    OFFSET( INDIRECT("'[storico profut.xlsm]Consiglio_Week'!$R:$R"), 0, COLUMNS($A:C)-1 )
  ),
  ""
)</f>
        <v/>
      </c>
      <c r="AO8" s="21" t="str" cm="1">
        <f t="array" aca="1" ref="AO8" ca="1">IFERROR(
  _xlfn.XLOOKUP(
    $B8,
    INDIRECT("'[storico profut.xlsm]Consiglio_Week'!B:B"),
    OFFSET( INDIRECT("'[storico profut.xlsm]Consiglio_Week'!$R:$R"), 0, COLUMNS($A:D)-1 )
  ),
  ""
)</f>
        <v/>
      </c>
      <c r="AP8" s="21" t="str" cm="1">
        <f t="array" aca="1" ref="AP8" ca="1">IFERROR(
  _xlfn.XLOOKUP(
    $B8,
    INDIRECT("'[storico profut.xlsm]Consiglio_Week'!B:B"),
    OFFSET( INDIRECT("'[storico profut.xlsm]Consiglio_Week'!$R:$R"), 0, COLUMNS($A:E)-1 )
  ),
  ""
)</f>
        <v/>
      </c>
      <c r="AQ8" s="22" t="str" cm="1">
        <f t="array" aca="1" ref="AQ8" ca="1">IFERROR(
  _xlfn.XLOOKUP(
    $B8,
    INDIRECT("'[storico profut.xlsm]Consiglio_Week'!B:B"),
    OFFSET( INDIRECT("'[storico profut.xlsm]Consiglio_Week'!$R:$R"), 0, COLUMNS($A:F)-1 )
  ),
  ""
)</f>
        <v/>
      </c>
      <c r="AR8" s="21" t="str" cm="1">
        <f t="array" aca="1" ref="AR8" ca="1">IFERROR(
  _xlfn.XLOOKUP(
    $B8,
    INDIRECT("'[storico profut.xlsm]Consiglio_Week'!B:B"),
    OFFSET( INDIRECT("'[storico profut.xlsm]Consiglio_Week'!$R:$R"), 0, COLUMNS($A:G)-1 )
  ),
  ""
)</f>
        <v/>
      </c>
      <c r="AS8" s="21" t="str" cm="1">
        <f t="array" aca="1" ref="AS8" ca="1">IFERROR(
  _xlfn.XLOOKUP(
    $B8,
    INDIRECT("'[storico profut.xlsm]Consiglio_Week'!B:B"),
    OFFSET( INDIRECT("'[storico profut.xlsm]Consiglio_Week'!$R:$R"), 0, COLUMNS($A:H)-1 )
  ),
  ""
)</f>
        <v/>
      </c>
      <c r="AT8" s="21" t="str" cm="1">
        <f t="array" aca="1" ref="AT8" ca="1">IFERROR(
  _xlfn.XLOOKUP(
    $B8,
    INDIRECT("'[storico profut.xlsm]Consiglio_Week'!B:B"),
    OFFSET( INDIRECT("'[storico profut.xlsm]Consiglio_Week'!$R:$R"), 0, COLUMNS($A:I)-1 )
  ),
  ""
)</f>
        <v/>
      </c>
      <c r="AU8" s="22" t="str" cm="1">
        <f t="array" aca="1" ref="AU8" ca="1">IFERROR(
  _xlfn.XLOOKUP(
    $B8,
    INDIRECT("'[storico profut.xlsm]Consiglio_Week'!B:B"),
    OFFSET( INDIRECT("'[storico profut.xlsm]Consiglio_Week'!$R:$R"), 0, COLUMNS($A:J)-1 )
  ),
  ""
)</f>
        <v/>
      </c>
      <c r="AV8" s="22" t="str" cm="1">
        <f t="array" aca="1" ref="AV8" ca="1">IFERROR(
  _xlfn.XLOOKUP(
    $B8,
    INDIRECT("'[storico profut.xlsm]Consiglio_Week'!B:B"),
    OFFSET( INDIRECT("'[storico profut.xlsm]Consiglio_Week'!$R:$R"), 0, COLUMNS($A:K)-1 )
  ),
  ""
)</f>
        <v/>
      </c>
      <c r="AW8" s="22" t="str" cm="1">
        <f t="array" aca="1" ref="AW8" ca="1">IFERROR(
  _xlfn.XLOOKUP(
    $B8,
    INDIRECT("'[storico profut.xlsm]Consiglio_Week'!B:B"),
    OFFSET( INDIRECT("'[storico profut.xlsm]Consiglio_Week'!$R:$R"), 0, COLUMNS($A:L)-1 )
  ),
  ""
)</f>
        <v/>
      </c>
      <c r="AX8" s="26" t="str" cm="1">
        <f t="array" aca="1" ref="AX8" ca="1">IFERROR(
  _xlfn.XLOOKUP(
    $B8,
    INDIRECT("'[storico profut.xlsm]Consiglio_Week'!B:B"),
    OFFSET( INDIRECT("'[storico profut.xlsm]Consiglio_Week'!$R:$R"), 0, COLUMNS($A:M)-1 )
  ),
  ""
)</f>
        <v/>
      </c>
      <c r="AY8" s="22">
        <v>0</v>
      </c>
    </row>
    <row r="9" spans="1:51">
      <c r="A9" t="s">
        <v>158</v>
      </c>
      <c r="B9" t="s">
        <v>582</v>
      </c>
      <c r="C9">
        <v>20</v>
      </c>
      <c r="D9">
        <v>2</v>
      </c>
      <c r="E9" s="6">
        <v>0.375</v>
      </c>
      <c r="F9" s="6">
        <v>0.625</v>
      </c>
      <c r="G9" s="5"/>
      <c r="H9" s="5" t="s">
        <v>640</v>
      </c>
      <c r="Q9" t="s">
        <v>468</v>
      </c>
      <c r="R9">
        <v>1</v>
      </c>
      <c r="S9" t="s">
        <v>593</v>
      </c>
      <c r="AH9" t="str" cm="1">
        <f t="array" aca="1" ref="AH9" ca="1">+IFERROR(_xlfn.XLOOKUP($B9,INDIRECT("'[storico profut.xlsm]Consiglio_Week'!$B:$B"),INDIRECT("'[storico profut.xlsm]Consiglio_Week'!$I:$I")),"")</f>
        <v/>
      </c>
      <c r="AI9" t="str" cm="1">
        <f t="array" aca="1" ref="AI9" ca="1">+IFERROR(_xlfn.XLOOKUP($B9,INDIRECT("'[storico profut.xlsm]Consiglio_Week'!$B:$B"),INDIRECT("'[storico profut.xlsm]Consiglio_Week'!$L:$L")),"")</f>
        <v/>
      </c>
      <c r="AJ9" t="str" cm="1">
        <f t="array" aca="1" ref="AJ9" ca="1">+IFERROR(_xlfn.XLOOKUP($B9,INDIRECT("'[storico profut.xlsm]Consiglio_Week'!$B:$B"),INDIRECT("'[storico profut.xlsm]Consiglio_Week'!$M:$M")),"")</f>
        <v/>
      </c>
      <c r="AK9" t="str" cm="1">
        <f t="array" aca="1" ref="AK9" ca="1">+IFERROR(_xlfn.XLOOKUP($B9,INDIRECT("'[storico profut.xlsm]Consiglio_Week'!$B:$B"),INDIRECT("'[storico profut.xlsm]Consiglio_Week'!$P:$P")),"")</f>
        <v/>
      </c>
      <c r="AL9" s="21" t="str" cm="1">
        <f t="array" aca="1" ref="AL9" ca="1">IFERROR(
  _xlfn.XLOOKUP(
    $B9,
    INDIRECT("'[storico profut.xlsm]Consiglio_Week'!B:B"),
    OFFSET( INDIRECT("'[storico profut.xlsm]Consiglio_Week'!$R:$R"), 0, COLUMNS($A:A)-1 )
  ),
  ""
)</f>
        <v/>
      </c>
      <c r="AM9" s="21" t="str" cm="1">
        <f t="array" aca="1" ref="AM9" ca="1">IFERROR(
  _xlfn.XLOOKUP(
    $B9,
    INDIRECT("'[storico profut.xlsm]Consiglio_Week'!B:B"),
    OFFSET( INDIRECT("'[storico profut.xlsm]Consiglio_Week'!$R:$R"), 0, COLUMNS($A:B)-1 )
  ),
  ""
)</f>
        <v/>
      </c>
      <c r="AN9" s="21" t="str" cm="1">
        <f t="array" aca="1" ref="AN9" ca="1">IFERROR(
  _xlfn.XLOOKUP(
    $B9,
    INDIRECT("'[storico profut.xlsm]Consiglio_Week'!B:B"),
    OFFSET( INDIRECT("'[storico profut.xlsm]Consiglio_Week'!$R:$R"), 0, COLUMNS($A:C)-1 )
  ),
  ""
)</f>
        <v/>
      </c>
      <c r="AO9" s="21" t="str" cm="1">
        <f t="array" aca="1" ref="AO9" ca="1">IFERROR(
  _xlfn.XLOOKUP(
    $B9,
    INDIRECT("'[storico profut.xlsm]Consiglio_Week'!B:B"),
    OFFSET( INDIRECT("'[storico profut.xlsm]Consiglio_Week'!$R:$R"), 0, COLUMNS($A:D)-1 )
  ),
  ""
)</f>
        <v/>
      </c>
      <c r="AP9" s="21" t="str" cm="1">
        <f t="array" aca="1" ref="AP9" ca="1">IFERROR(
  _xlfn.XLOOKUP(
    $B9,
    INDIRECT("'[storico profut.xlsm]Consiglio_Week'!B:B"),
    OFFSET( INDIRECT("'[storico profut.xlsm]Consiglio_Week'!$R:$R"), 0, COLUMNS($A:E)-1 )
  ),
  ""
)</f>
        <v/>
      </c>
      <c r="AQ9" s="22" t="str" cm="1">
        <f t="array" aca="1" ref="AQ9" ca="1">IFERROR(
  _xlfn.XLOOKUP(
    $B9,
    INDIRECT("'[storico profut.xlsm]Consiglio_Week'!B:B"),
    OFFSET( INDIRECT("'[storico profut.xlsm]Consiglio_Week'!$R:$R"), 0, COLUMNS($A:F)-1 )
  ),
  ""
)</f>
        <v/>
      </c>
      <c r="AR9" s="21" t="str" cm="1">
        <f t="array" aca="1" ref="AR9" ca="1">IFERROR(
  _xlfn.XLOOKUP(
    $B9,
    INDIRECT("'[storico profut.xlsm]Consiglio_Week'!B:B"),
    OFFSET( INDIRECT("'[storico profut.xlsm]Consiglio_Week'!$R:$R"), 0, COLUMNS($A:G)-1 )
  ),
  ""
)</f>
        <v/>
      </c>
      <c r="AS9" s="21" t="str" cm="1">
        <f t="array" aca="1" ref="AS9" ca="1">IFERROR(
  _xlfn.XLOOKUP(
    $B9,
    INDIRECT("'[storico profut.xlsm]Consiglio_Week'!B:B"),
    OFFSET( INDIRECT("'[storico profut.xlsm]Consiglio_Week'!$R:$R"), 0, COLUMNS($A:H)-1 )
  ),
  ""
)</f>
        <v/>
      </c>
      <c r="AT9" s="21" t="str" cm="1">
        <f t="array" aca="1" ref="AT9" ca="1">IFERROR(
  _xlfn.XLOOKUP(
    $B9,
    INDIRECT("'[storico profut.xlsm]Consiglio_Week'!B:B"),
    OFFSET( INDIRECT("'[storico profut.xlsm]Consiglio_Week'!$R:$R"), 0, COLUMNS($A:I)-1 )
  ),
  ""
)</f>
        <v/>
      </c>
      <c r="AU9" s="22" t="str" cm="1">
        <f t="array" aca="1" ref="AU9" ca="1">IFERROR(
  _xlfn.XLOOKUP(
    $B9,
    INDIRECT("'[storico profut.xlsm]Consiglio_Week'!B:B"),
    OFFSET( INDIRECT("'[storico profut.xlsm]Consiglio_Week'!$R:$R"), 0, COLUMNS($A:J)-1 )
  ),
  ""
)</f>
        <v/>
      </c>
      <c r="AV9" s="22" t="str" cm="1">
        <f t="array" aca="1" ref="AV9" ca="1">IFERROR(
  _xlfn.XLOOKUP(
    $B9,
    INDIRECT("'[storico profut.xlsm]Consiglio_Week'!B:B"),
    OFFSET( INDIRECT("'[storico profut.xlsm]Consiglio_Week'!$R:$R"), 0, COLUMNS($A:K)-1 )
  ),
  ""
)</f>
        <v/>
      </c>
      <c r="AW9" s="22" t="str" cm="1">
        <f t="array" aca="1" ref="AW9" ca="1">IFERROR(
  _xlfn.XLOOKUP(
    $B9,
    INDIRECT("'[storico profut.xlsm]Consiglio_Week'!B:B"),
    OFFSET( INDIRECT("'[storico profut.xlsm]Consiglio_Week'!$R:$R"), 0, COLUMNS($A:L)-1 )
  ),
  ""
)</f>
        <v/>
      </c>
      <c r="AX9" s="26" t="str" cm="1">
        <f t="array" aca="1" ref="AX9" ca="1">IFERROR(
  _xlfn.XLOOKUP(
    $B9,
    INDIRECT("'[storico profut.xlsm]Consiglio_Week'!B:B"),
    OFFSET( INDIRECT("'[storico profut.xlsm]Consiglio_Week'!$R:$R"), 0, COLUMNS($A:M)-1 )
  ),
  ""
)</f>
        <v/>
      </c>
      <c r="AY9" s="22" t="s">
        <v>623</v>
      </c>
    </row>
    <row r="10" spans="1:51">
      <c r="A10" t="s">
        <v>592</v>
      </c>
      <c r="B10" t="s">
        <v>583</v>
      </c>
      <c r="C10">
        <v>20</v>
      </c>
      <c r="D10">
        <v>2</v>
      </c>
      <c r="E10" s="6">
        <v>0.625</v>
      </c>
      <c r="F10" s="6">
        <v>0.875</v>
      </c>
      <c r="G10" s="5"/>
      <c r="H10" s="5" t="s">
        <v>640</v>
      </c>
      <c r="Q10" t="s">
        <v>468</v>
      </c>
      <c r="R10">
        <v>1</v>
      </c>
      <c r="S10" t="s">
        <v>593</v>
      </c>
      <c r="AH10" t="str" cm="1">
        <f t="array" aca="1" ref="AH10" ca="1">+IFERROR(_xlfn.XLOOKUP($B10,INDIRECT("'[storico profut.xlsm]Consiglio_Week'!$B:$B"),INDIRECT("'[storico profut.xlsm]Consiglio_Week'!$I:$I")),"")</f>
        <v/>
      </c>
      <c r="AI10" t="str" cm="1">
        <f t="array" aca="1" ref="AI10" ca="1">+IFERROR(_xlfn.XLOOKUP($B10,INDIRECT("'[storico profut.xlsm]Consiglio_Week'!$B:$B"),INDIRECT("'[storico profut.xlsm]Consiglio_Week'!$L:$L")),"")</f>
        <v/>
      </c>
      <c r="AJ10" t="str" cm="1">
        <f t="array" aca="1" ref="AJ10" ca="1">+IFERROR(_xlfn.XLOOKUP($B10,INDIRECT("'[storico profut.xlsm]Consiglio_Week'!$B:$B"),INDIRECT("'[storico profut.xlsm]Consiglio_Week'!$M:$M")),"")</f>
        <v/>
      </c>
      <c r="AK10" t="str" cm="1">
        <f t="array" aca="1" ref="AK10" ca="1">+IFERROR(_xlfn.XLOOKUP($B10,INDIRECT("'[storico profut.xlsm]Consiglio_Week'!$B:$B"),INDIRECT("'[storico profut.xlsm]Consiglio_Week'!$P:$P")),"")</f>
        <v/>
      </c>
      <c r="AL10" s="21" t="str" cm="1">
        <f t="array" aca="1" ref="AL10" ca="1">IFERROR(
  _xlfn.XLOOKUP(
    $B10,
    INDIRECT("'[storico profut.xlsm]Consiglio_Week'!B:B"),
    OFFSET( INDIRECT("'[storico profut.xlsm]Consiglio_Week'!$R:$R"), 0, COLUMNS($A:A)-1 )
  ),
  ""
)</f>
        <v/>
      </c>
      <c r="AM10" s="21" t="str" cm="1">
        <f t="array" aca="1" ref="AM10" ca="1">IFERROR(
  _xlfn.XLOOKUP(
    $B10,
    INDIRECT("'[storico profut.xlsm]Consiglio_Week'!B:B"),
    OFFSET( INDIRECT("'[storico profut.xlsm]Consiglio_Week'!$R:$R"), 0, COLUMNS($A:B)-1 )
  ),
  ""
)</f>
        <v/>
      </c>
      <c r="AN10" s="21" t="str" cm="1">
        <f t="array" aca="1" ref="AN10" ca="1">IFERROR(
  _xlfn.XLOOKUP(
    $B10,
    INDIRECT("'[storico profut.xlsm]Consiglio_Week'!B:B"),
    OFFSET( INDIRECT("'[storico profut.xlsm]Consiglio_Week'!$R:$R"), 0, COLUMNS($A:C)-1 )
  ),
  ""
)</f>
        <v/>
      </c>
      <c r="AO10" s="21" t="str" cm="1">
        <f t="array" aca="1" ref="AO10" ca="1">IFERROR(
  _xlfn.XLOOKUP(
    $B10,
    INDIRECT("'[storico profut.xlsm]Consiglio_Week'!B:B"),
    OFFSET( INDIRECT("'[storico profut.xlsm]Consiglio_Week'!$R:$R"), 0, COLUMNS($A:D)-1 )
  ),
  ""
)</f>
        <v/>
      </c>
      <c r="AP10" s="21" t="str" cm="1">
        <f t="array" aca="1" ref="AP10" ca="1">IFERROR(
  _xlfn.XLOOKUP(
    $B10,
    INDIRECT("'[storico profut.xlsm]Consiglio_Week'!B:B"),
    OFFSET( INDIRECT("'[storico profut.xlsm]Consiglio_Week'!$R:$R"), 0, COLUMNS($A:E)-1 )
  ),
  ""
)</f>
        <v/>
      </c>
      <c r="AQ10" s="22" t="str" cm="1">
        <f t="array" aca="1" ref="AQ10" ca="1">IFERROR(
  _xlfn.XLOOKUP(
    $B10,
    INDIRECT("'[storico profut.xlsm]Consiglio_Week'!B:B"),
    OFFSET( INDIRECT("'[storico profut.xlsm]Consiglio_Week'!$R:$R"), 0, COLUMNS($A:F)-1 )
  ),
  ""
)</f>
        <v/>
      </c>
      <c r="AR10" s="21" t="str" cm="1">
        <f t="array" aca="1" ref="AR10" ca="1">IFERROR(
  _xlfn.XLOOKUP(
    $B10,
    INDIRECT("'[storico profut.xlsm]Consiglio_Week'!B:B"),
    OFFSET( INDIRECT("'[storico profut.xlsm]Consiglio_Week'!$R:$R"), 0, COLUMNS($A:G)-1 )
  ),
  ""
)</f>
        <v/>
      </c>
      <c r="AS10" s="21" t="str" cm="1">
        <f t="array" aca="1" ref="AS10" ca="1">IFERROR(
  _xlfn.XLOOKUP(
    $B10,
    INDIRECT("'[storico profut.xlsm]Consiglio_Week'!B:B"),
    OFFSET( INDIRECT("'[storico profut.xlsm]Consiglio_Week'!$R:$R"), 0, COLUMNS($A:H)-1 )
  ),
  ""
)</f>
        <v/>
      </c>
      <c r="AT10" s="21" t="str" cm="1">
        <f t="array" aca="1" ref="AT10" ca="1">IFERROR(
  _xlfn.XLOOKUP(
    $B10,
    INDIRECT("'[storico profut.xlsm]Consiglio_Week'!B:B"),
    OFFSET( INDIRECT("'[storico profut.xlsm]Consiglio_Week'!$R:$R"), 0, COLUMNS($A:I)-1 )
  ),
  ""
)</f>
        <v/>
      </c>
      <c r="AU10" s="22" t="str" cm="1">
        <f t="array" aca="1" ref="AU10" ca="1">IFERROR(
  _xlfn.XLOOKUP(
    $B10,
    INDIRECT("'[storico profut.xlsm]Consiglio_Week'!B:B"),
    OFFSET( INDIRECT("'[storico profut.xlsm]Consiglio_Week'!$R:$R"), 0, COLUMNS($A:J)-1 )
  ),
  ""
)</f>
        <v/>
      </c>
      <c r="AV10" s="22" t="str" cm="1">
        <f t="array" aca="1" ref="AV10" ca="1">IFERROR(
  _xlfn.XLOOKUP(
    $B10,
    INDIRECT("'[storico profut.xlsm]Consiglio_Week'!B:B"),
    OFFSET( INDIRECT("'[storico profut.xlsm]Consiglio_Week'!$R:$R"), 0, COLUMNS($A:K)-1 )
  ),
  ""
)</f>
        <v/>
      </c>
      <c r="AW10" s="22" t="str" cm="1">
        <f t="array" aca="1" ref="AW10" ca="1">IFERROR(
  _xlfn.XLOOKUP(
    $B10,
    INDIRECT("'[storico profut.xlsm]Consiglio_Week'!B:B"),
    OFFSET( INDIRECT("'[storico profut.xlsm]Consiglio_Week'!$R:$R"), 0, COLUMNS($A:L)-1 )
  ),
  ""
)</f>
        <v/>
      </c>
      <c r="AX10" s="26" t="str" cm="1">
        <f t="array" aca="1" ref="AX10" ca="1">IFERROR(
  _xlfn.XLOOKUP(
    $B10,
    INDIRECT("'[storico profut.xlsm]Consiglio_Week'!B:B"),
    OFFSET( INDIRECT("'[storico profut.xlsm]Consiglio_Week'!$R:$R"), 0, COLUMNS($A:M)-1 )
  ),
  ""
)</f>
        <v/>
      </c>
      <c r="AY10" s="22">
        <v>0</v>
      </c>
    </row>
    <row r="11" spans="1:51">
      <c r="A11" t="s">
        <v>435</v>
      </c>
      <c r="B11" t="s">
        <v>584</v>
      </c>
      <c r="C11">
        <v>20</v>
      </c>
      <c r="D11">
        <v>2</v>
      </c>
      <c r="E11" s="16">
        <v>0.58333333333333337</v>
      </c>
      <c r="F11" s="16">
        <v>0.75</v>
      </c>
      <c r="G11" s="5"/>
      <c r="H11" s="5" t="s">
        <v>640</v>
      </c>
      <c r="Q11" t="s">
        <v>468</v>
      </c>
      <c r="R11">
        <v>0</v>
      </c>
      <c r="S11" t="s">
        <v>593</v>
      </c>
      <c r="AH11" t="str" cm="1">
        <f t="array" aca="1" ref="AH11" ca="1">+IFERROR(_xlfn.XLOOKUP($B11,INDIRECT("'[storico profut.xlsm]Consiglio_Week'!$B:$B"),INDIRECT("'[storico profut.xlsm]Consiglio_Week'!$I:$I")),"")</f>
        <v/>
      </c>
      <c r="AI11" t="str" cm="1">
        <f t="array" aca="1" ref="AI11" ca="1">+IFERROR(_xlfn.XLOOKUP($B11,INDIRECT("'[storico profut.xlsm]Consiglio_Week'!$B:$B"),INDIRECT("'[storico profut.xlsm]Consiglio_Week'!$L:$L")),"")</f>
        <v/>
      </c>
      <c r="AJ11" t="str" cm="1">
        <f t="array" aca="1" ref="AJ11" ca="1">+IFERROR(_xlfn.XLOOKUP($B11,INDIRECT("'[storico profut.xlsm]Consiglio_Week'!$B:$B"),INDIRECT("'[storico profut.xlsm]Consiglio_Week'!$M:$M")),"")</f>
        <v/>
      </c>
      <c r="AK11" t="str" cm="1">
        <f t="array" aca="1" ref="AK11" ca="1">+IFERROR(_xlfn.XLOOKUP($B11,INDIRECT("'[storico profut.xlsm]Consiglio_Week'!$B:$B"),INDIRECT("'[storico profut.xlsm]Consiglio_Week'!$P:$P")),"")</f>
        <v/>
      </c>
      <c r="AL11" s="21" t="str" cm="1">
        <f t="array" aca="1" ref="AL11" ca="1">IFERROR(
  _xlfn.XLOOKUP(
    $B11,
    INDIRECT("'[storico profut.xlsm]Consiglio_Week'!B:B"),
    OFFSET( INDIRECT("'[storico profut.xlsm]Consiglio_Week'!$R:$R"), 0, COLUMNS($A:A)-1 )
  ),
  ""
)</f>
        <v/>
      </c>
      <c r="AM11" s="21" t="str" cm="1">
        <f t="array" aca="1" ref="AM11" ca="1">IFERROR(
  _xlfn.XLOOKUP(
    $B11,
    INDIRECT("'[storico profut.xlsm]Consiglio_Week'!B:B"),
    OFFSET( INDIRECT("'[storico profut.xlsm]Consiglio_Week'!$R:$R"), 0, COLUMNS($A:B)-1 )
  ),
  ""
)</f>
        <v/>
      </c>
      <c r="AN11" s="21" t="str" cm="1">
        <f t="array" aca="1" ref="AN11" ca="1">IFERROR(
  _xlfn.XLOOKUP(
    $B11,
    INDIRECT("'[storico profut.xlsm]Consiglio_Week'!B:B"),
    OFFSET( INDIRECT("'[storico profut.xlsm]Consiglio_Week'!$R:$R"), 0, COLUMNS($A:C)-1 )
  ),
  ""
)</f>
        <v/>
      </c>
      <c r="AO11" s="21" t="str" cm="1">
        <f t="array" aca="1" ref="AO11" ca="1">IFERROR(
  _xlfn.XLOOKUP(
    $B11,
    INDIRECT("'[storico profut.xlsm]Consiglio_Week'!B:B"),
    OFFSET( INDIRECT("'[storico profut.xlsm]Consiglio_Week'!$R:$R"), 0, COLUMNS($A:D)-1 )
  ),
  ""
)</f>
        <v/>
      </c>
      <c r="AP11" s="21" t="str" cm="1">
        <f t="array" aca="1" ref="AP11" ca="1">IFERROR(
  _xlfn.XLOOKUP(
    $B11,
    INDIRECT("'[storico profut.xlsm]Consiglio_Week'!B:B"),
    OFFSET( INDIRECT("'[storico profut.xlsm]Consiglio_Week'!$R:$R"), 0, COLUMNS($A:E)-1 )
  ),
  ""
)</f>
        <v/>
      </c>
      <c r="AQ11" s="22" t="str" cm="1">
        <f t="array" aca="1" ref="AQ11" ca="1">IFERROR(
  _xlfn.XLOOKUP(
    $B11,
    INDIRECT("'[storico profut.xlsm]Consiglio_Week'!B:B"),
    OFFSET( INDIRECT("'[storico profut.xlsm]Consiglio_Week'!$R:$R"), 0, COLUMNS($A:F)-1 )
  ),
  ""
)</f>
        <v/>
      </c>
      <c r="AR11" s="21" t="str" cm="1">
        <f t="array" aca="1" ref="AR11" ca="1">IFERROR(
  _xlfn.XLOOKUP(
    $B11,
    INDIRECT("'[storico profut.xlsm]Consiglio_Week'!B:B"),
    OFFSET( INDIRECT("'[storico profut.xlsm]Consiglio_Week'!$R:$R"), 0, COLUMNS($A:G)-1 )
  ),
  ""
)</f>
        <v/>
      </c>
      <c r="AS11" s="21" t="str" cm="1">
        <f t="array" aca="1" ref="AS11" ca="1">IFERROR(
  _xlfn.XLOOKUP(
    $B11,
    INDIRECT("'[storico profut.xlsm]Consiglio_Week'!B:B"),
    OFFSET( INDIRECT("'[storico profut.xlsm]Consiglio_Week'!$R:$R"), 0, COLUMNS($A:H)-1 )
  ),
  ""
)</f>
        <v/>
      </c>
      <c r="AT11" s="21" t="str" cm="1">
        <f t="array" aca="1" ref="AT11" ca="1">IFERROR(
  _xlfn.XLOOKUP(
    $B11,
    INDIRECT("'[storico profut.xlsm]Consiglio_Week'!B:B"),
    OFFSET( INDIRECT("'[storico profut.xlsm]Consiglio_Week'!$R:$R"), 0, COLUMNS($A:I)-1 )
  ),
  ""
)</f>
        <v/>
      </c>
      <c r="AU11" s="22" t="str" cm="1">
        <f t="array" aca="1" ref="AU11" ca="1">IFERROR(
  _xlfn.XLOOKUP(
    $B11,
    INDIRECT("'[storico profut.xlsm]Consiglio_Week'!B:B"),
    OFFSET( INDIRECT("'[storico profut.xlsm]Consiglio_Week'!$R:$R"), 0, COLUMNS($A:J)-1 )
  ),
  ""
)</f>
        <v/>
      </c>
      <c r="AV11" s="22" t="str" cm="1">
        <f t="array" aca="1" ref="AV11" ca="1">IFERROR(
  _xlfn.XLOOKUP(
    $B11,
    INDIRECT("'[storico profut.xlsm]Consiglio_Week'!B:B"),
    OFFSET( INDIRECT("'[storico profut.xlsm]Consiglio_Week'!$R:$R"), 0, COLUMNS($A:K)-1 )
  ),
  ""
)</f>
        <v/>
      </c>
      <c r="AW11" s="22" t="str" cm="1">
        <f t="array" aca="1" ref="AW11" ca="1">IFERROR(
  _xlfn.XLOOKUP(
    $B11,
    INDIRECT("'[storico profut.xlsm]Consiglio_Week'!B:B"),
    OFFSET( INDIRECT("'[storico profut.xlsm]Consiglio_Week'!$R:$R"), 0, COLUMNS($A:L)-1 )
  ),
  ""
)</f>
        <v/>
      </c>
      <c r="AX11" s="26" t="str" cm="1">
        <f t="array" aca="1" ref="AX11" ca="1">IFERROR(
  _xlfn.XLOOKUP(
    $B11,
    INDIRECT("'[storico profut.xlsm]Consiglio_Week'!B:B"),
    OFFSET( INDIRECT("'[storico profut.xlsm]Consiglio_Week'!$R:$R"), 0, COLUMNS($A:M)-1 )
  ),
  ""
)</f>
        <v/>
      </c>
      <c r="AY11" s="22" t="s">
        <v>624</v>
      </c>
    </row>
    <row r="12" spans="1:51">
      <c r="A12" t="s">
        <v>461</v>
      </c>
      <c r="B12" t="s">
        <v>585</v>
      </c>
      <c r="C12">
        <v>20</v>
      </c>
      <c r="D12">
        <v>2</v>
      </c>
      <c r="E12" s="6">
        <v>0.375</v>
      </c>
      <c r="F12" s="6">
        <v>0.625</v>
      </c>
      <c r="G12" s="5"/>
      <c r="H12" s="5" t="s">
        <v>640</v>
      </c>
      <c r="Q12" t="s">
        <v>468</v>
      </c>
      <c r="R12">
        <v>1</v>
      </c>
      <c r="S12" t="s">
        <v>593</v>
      </c>
      <c r="AH12" t="str" cm="1">
        <f t="array" aca="1" ref="AH12" ca="1">+IFERROR(_xlfn.XLOOKUP($B12,INDIRECT("'[storico profut.xlsm]Consiglio_Week'!$B:$B"),INDIRECT("'[storico profut.xlsm]Consiglio_Week'!$I:$I")),"")</f>
        <v/>
      </c>
      <c r="AI12" t="str" cm="1">
        <f t="array" aca="1" ref="AI12" ca="1">+IFERROR(_xlfn.XLOOKUP($B12,INDIRECT("'[storico profut.xlsm]Consiglio_Week'!$B:$B"),INDIRECT("'[storico profut.xlsm]Consiglio_Week'!$L:$L")),"")</f>
        <v/>
      </c>
      <c r="AJ12" t="str" cm="1">
        <f t="array" aca="1" ref="AJ12" ca="1">+IFERROR(_xlfn.XLOOKUP($B12,INDIRECT("'[storico profut.xlsm]Consiglio_Week'!$B:$B"),INDIRECT("'[storico profut.xlsm]Consiglio_Week'!$M:$M")),"")</f>
        <v/>
      </c>
      <c r="AK12" t="str" cm="1">
        <f t="array" aca="1" ref="AK12" ca="1">+IFERROR(_xlfn.XLOOKUP($B12,INDIRECT("'[storico profut.xlsm]Consiglio_Week'!$B:$B"),INDIRECT("'[storico profut.xlsm]Consiglio_Week'!$P:$P")),"")</f>
        <v/>
      </c>
      <c r="AL12" s="21" t="str" cm="1">
        <f t="array" aca="1" ref="AL12" ca="1">IFERROR(
  _xlfn.XLOOKUP(
    $B12,
    INDIRECT("'[storico profut.xlsm]Consiglio_Week'!B:B"),
    OFFSET( INDIRECT("'[storico profut.xlsm]Consiglio_Week'!$R:$R"), 0, COLUMNS($A:A)-1 )
  ),
  ""
)</f>
        <v/>
      </c>
      <c r="AM12" s="21" t="str" cm="1">
        <f t="array" aca="1" ref="AM12" ca="1">IFERROR(
  _xlfn.XLOOKUP(
    $B12,
    INDIRECT("'[storico profut.xlsm]Consiglio_Week'!B:B"),
    OFFSET( INDIRECT("'[storico profut.xlsm]Consiglio_Week'!$R:$R"), 0, COLUMNS($A:B)-1 )
  ),
  ""
)</f>
        <v/>
      </c>
      <c r="AN12" s="21" t="str" cm="1">
        <f t="array" aca="1" ref="AN12" ca="1">IFERROR(
  _xlfn.XLOOKUP(
    $B12,
    INDIRECT("'[storico profut.xlsm]Consiglio_Week'!B:B"),
    OFFSET( INDIRECT("'[storico profut.xlsm]Consiglio_Week'!$R:$R"), 0, COLUMNS($A:C)-1 )
  ),
  ""
)</f>
        <v/>
      </c>
      <c r="AO12" s="21" t="str" cm="1">
        <f t="array" aca="1" ref="AO12" ca="1">IFERROR(
  _xlfn.XLOOKUP(
    $B12,
    INDIRECT("'[storico profut.xlsm]Consiglio_Week'!B:B"),
    OFFSET( INDIRECT("'[storico profut.xlsm]Consiglio_Week'!$R:$R"), 0, COLUMNS($A:D)-1 )
  ),
  ""
)</f>
        <v/>
      </c>
      <c r="AP12" s="21" t="str" cm="1">
        <f t="array" aca="1" ref="AP12" ca="1">IFERROR(
  _xlfn.XLOOKUP(
    $B12,
    INDIRECT("'[storico profut.xlsm]Consiglio_Week'!B:B"),
    OFFSET( INDIRECT("'[storico profut.xlsm]Consiglio_Week'!$R:$R"), 0, COLUMNS($A:E)-1 )
  ),
  ""
)</f>
        <v/>
      </c>
      <c r="AQ12" s="22" t="str" cm="1">
        <f t="array" aca="1" ref="AQ12" ca="1">IFERROR(
  _xlfn.XLOOKUP(
    $B12,
    INDIRECT("'[storico profut.xlsm]Consiglio_Week'!B:B"),
    OFFSET( INDIRECT("'[storico profut.xlsm]Consiglio_Week'!$R:$R"), 0, COLUMNS($A:F)-1 )
  ),
  ""
)</f>
        <v/>
      </c>
      <c r="AR12" s="21" t="str" cm="1">
        <f t="array" aca="1" ref="AR12" ca="1">IFERROR(
  _xlfn.XLOOKUP(
    $B12,
    INDIRECT("'[storico profut.xlsm]Consiglio_Week'!B:B"),
    OFFSET( INDIRECT("'[storico profut.xlsm]Consiglio_Week'!$R:$R"), 0, COLUMNS($A:G)-1 )
  ),
  ""
)</f>
        <v/>
      </c>
      <c r="AS12" s="21" t="str" cm="1">
        <f t="array" aca="1" ref="AS12" ca="1">IFERROR(
  _xlfn.XLOOKUP(
    $B12,
    INDIRECT("'[storico profut.xlsm]Consiglio_Week'!B:B"),
    OFFSET( INDIRECT("'[storico profut.xlsm]Consiglio_Week'!$R:$R"), 0, COLUMNS($A:H)-1 )
  ),
  ""
)</f>
        <v/>
      </c>
      <c r="AT12" s="21" t="str" cm="1">
        <f t="array" aca="1" ref="AT12" ca="1">IFERROR(
  _xlfn.XLOOKUP(
    $B12,
    INDIRECT("'[storico profut.xlsm]Consiglio_Week'!B:B"),
    OFFSET( INDIRECT("'[storico profut.xlsm]Consiglio_Week'!$R:$R"), 0, COLUMNS($A:I)-1 )
  ),
  ""
)</f>
        <v/>
      </c>
      <c r="AU12" s="22" t="str" cm="1">
        <f t="array" aca="1" ref="AU12" ca="1">IFERROR(
  _xlfn.XLOOKUP(
    $B12,
    INDIRECT("'[storico profut.xlsm]Consiglio_Week'!B:B"),
    OFFSET( INDIRECT("'[storico profut.xlsm]Consiglio_Week'!$R:$R"), 0, COLUMNS($A:J)-1 )
  ),
  ""
)</f>
        <v/>
      </c>
      <c r="AV12" s="22" t="str" cm="1">
        <f t="array" aca="1" ref="AV12" ca="1">IFERROR(
  _xlfn.XLOOKUP(
    $B12,
    INDIRECT("'[storico profut.xlsm]Consiglio_Week'!B:B"),
    OFFSET( INDIRECT("'[storico profut.xlsm]Consiglio_Week'!$R:$R"), 0, COLUMNS($A:K)-1 )
  ),
  ""
)</f>
        <v/>
      </c>
      <c r="AW12" s="22" t="str" cm="1">
        <f t="array" aca="1" ref="AW12" ca="1">IFERROR(
  _xlfn.XLOOKUP(
    $B12,
    INDIRECT("'[storico profut.xlsm]Consiglio_Week'!B:B"),
    OFFSET( INDIRECT("'[storico profut.xlsm]Consiglio_Week'!$R:$R"), 0, COLUMNS($A:L)-1 )
  ),
  ""
)</f>
        <v/>
      </c>
      <c r="AX12" s="26" t="str" cm="1">
        <f t="array" aca="1" ref="AX12" ca="1">IFERROR(
  _xlfn.XLOOKUP(
    $B12,
    INDIRECT("'[storico profut.xlsm]Consiglio_Week'!B:B"),
    OFFSET( INDIRECT("'[storico profut.xlsm]Consiglio_Week'!$R:$R"), 0, COLUMNS($A:M)-1 )
  ),
  ""
)</f>
        <v/>
      </c>
      <c r="AY12" s="22">
        <v>0</v>
      </c>
    </row>
    <row r="13" spans="1:51">
      <c r="A13" t="s">
        <v>517</v>
      </c>
      <c r="B13" t="s">
        <v>586</v>
      </c>
      <c r="C13">
        <v>21</v>
      </c>
      <c r="D13">
        <v>2</v>
      </c>
      <c r="E13" s="6">
        <v>0.625</v>
      </c>
      <c r="F13" s="6">
        <v>0.875</v>
      </c>
      <c r="G13" s="5"/>
      <c r="H13" s="5" t="s">
        <v>640</v>
      </c>
      <c r="Q13" t="s">
        <v>472</v>
      </c>
      <c r="R13">
        <v>1</v>
      </c>
      <c r="S13" t="s">
        <v>593</v>
      </c>
      <c r="AH13" t="str" cm="1">
        <f t="array" aca="1" ref="AH13" ca="1">+IFERROR(_xlfn.XLOOKUP($B13,INDIRECT("'[storico profut.xlsm]Consiglio_Week'!$B:$B"),INDIRECT("'[storico profut.xlsm]Consiglio_Week'!$I:$I")),"")</f>
        <v/>
      </c>
      <c r="AI13" t="str" cm="1">
        <f t="array" aca="1" ref="AI13" ca="1">+IFERROR(_xlfn.XLOOKUP($B13,INDIRECT("'[storico profut.xlsm]Consiglio_Week'!$B:$B"),INDIRECT("'[storico profut.xlsm]Consiglio_Week'!$L:$L")),"")</f>
        <v/>
      </c>
      <c r="AJ13" t="str" cm="1">
        <f t="array" aca="1" ref="AJ13" ca="1">+IFERROR(_xlfn.XLOOKUP($B13,INDIRECT("'[storico profut.xlsm]Consiglio_Week'!$B:$B"),INDIRECT("'[storico profut.xlsm]Consiglio_Week'!$M:$M")),"")</f>
        <v/>
      </c>
      <c r="AK13" t="str" cm="1">
        <f t="array" aca="1" ref="AK13" ca="1">+IFERROR(_xlfn.XLOOKUP($B13,INDIRECT("'[storico profut.xlsm]Consiglio_Week'!$B:$B"),INDIRECT("'[storico profut.xlsm]Consiglio_Week'!$P:$P")),"")</f>
        <v/>
      </c>
      <c r="AL13" s="21" t="str" cm="1">
        <f t="array" aca="1" ref="AL13" ca="1">IFERROR(
  _xlfn.XLOOKUP(
    $B13,
    INDIRECT("'[storico profut.xlsm]Consiglio_Week'!B:B"),
    OFFSET( INDIRECT("'[storico profut.xlsm]Consiglio_Week'!$R:$R"), 0, COLUMNS($A:A)-1 )
  ),
  ""
)</f>
        <v/>
      </c>
      <c r="AM13" s="21" t="str" cm="1">
        <f t="array" aca="1" ref="AM13" ca="1">IFERROR(
  _xlfn.XLOOKUP(
    $B13,
    INDIRECT("'[storico profut.xlsm]Consiglio_Week'!B:B"),
    OFFSET( INDIRECT("'[storico profut.xlsm]Consiglio_Week'!$R:$R"), 0, COLUMNS($A:B)-1 )
  ),
  ""
)</f>
        <v/>
      </c>
      <c r="AN13" s="21" t="str" cm="1">
        <f t="array" aca="1" ref="AN13" ca="1">IFERROR(
  _xlfn.XLOOKUP(
    $B13,
    INDIRECT("'[storico profut.xlsm]Consiglio_Week'!B:B"),
    OFFSET( INDIRECT("'[storico profut.xlsm]Consiglio_Week'!$R:$R"), 0, COLUMNS($A:C)-1 )
  ),
  ""
)</f>
        <v/>
      </c>
      <c r="AO13" s="21" t="str" cm="1">
        <f t="array" aca="1" ref="AO13" ca="1">IFERROR(
  _xlfn.XLOOKUP(
    $B13,
    INDIRECT("'[storico profut.xlsm]Consiglio_Week'!B:B"),
    OFFSET( INDIRECT("'[storico profut.xlsm]Consiglio_Week'!$R:$R"), 0, COLUMNS($A:D)-1 )
  ),
  ""
)</f>
        <v/>
      </c>
      <c r="AP13" s="21" t="str" cm="1">
        <f t="array" aca="1" ref="AP13" ca="1">IFERROR(
  _xlfn.XLOOKUP(
    $B13,
    INDIRECT("'[storico profut.xlsm]Consiglio_Week'!B:B"),
    OFFSET( INDIRECT("'[storico profut.xlsm]Consiglio_Week'!$R:$R"), 0, COLUMNS($A:E)-1 )
  ),
  ""
)</f>
        <v/>
      </c>
      <c r="AQ13" s="22" t="str" cm="1">
        <f t="array" aca="1" ref="AQ13" ca="1">IFERROR(
  _xlfn.XLOOKUP(
    $B13,
    INDIRECT("'[storico profut.xlsm]Consiglio_Week'!B:B"),
    OFFSET( INDIRECT("'[storico profut.xlsm]Consiglio_Week'!$R:$R"), 0, COLUMNS($A:F)-1 )
  ),
  ""
)</f>
        <v/>
      </c>
      <c r="AR13" s="21" t="str" cm="1">
        <f t="array" aca="1" ref="AR13" ca="1">IFERROR(
  _xlfn.XLOOKUP(
    $B13,
    INDIRECT("'[storico profut.xlsm]Consiglio_Week'!B:B"),
    OFFSET( INDIRECT("'[storico profut.xlsm]Consiglio_Week'!$R:$R"), 0, COLUMNS($A:G)-1 )
  ),
  ""
)</f>
        <v/>
      </c>
      <c r="AS13" s="21" t="str" cm="1">
        <f t="array" aca="1" ref="AS13" ca="1">IFERROR(
  _xlfn.XLOOKUP(
    $B13,
    INDIRECT("'[storico profut.xlsm]Consiglio_Week'!B:B"),
    OFFSET( INDIRECT("'[storico profut.xlsm]Consiglio_Week'!$R:$R"), 0, COLUMNS($A:H)-1 )
  ),
  ""
)</f>
        <v/>
      </c>
      <c r="AT13" s="21" t="str" cm="1">
        <f t="array" aca="1" ref="AT13" ca="1">IFERROR(
  _xlfn.XLOOKUP(
    $B13,
    INDIRECT("'[storico profut.xlsm]Consiglio_Week'!B:B"),
    OFFSET( INDIRECT("'[storico profut.xlsm]Consiglio_Week'!$R:$R"), 0, COLUMNS($A:I)-1 )
  ),
  ""
)</f>
        <v/>
      </c>
      <c r="AU13" s="22" t="str" cm="1">
        <f t="array" aca="1" ref="AU13" ca="1">IFERROR(
  _xlfn.XLOOKUP(
    $B13,
    INDIRECT("'[storico profut.xlsm]Consiglio_Week'!B:B"),
    OFFSET( INDIRECT("'[storico profut.xlsm]Consiglio_Week'!$R:$R"), 0, COLUMNS($A:J)-1 )
  ),
  ""
)</f>
        <v/>
      </c>
      <c r="AV13" s="22" t="str" cm="1">
        <f t="array" aca="1" ref="AV13" ca="1">IFERROR(
  _xlfn.XLOOKUP(
    $B13,
    INDIRECT("'[storico profut.xlsm]Consiglio_Week'!B:B"),
    OFFSET( INDIRECT("'[storico profut.xlsm]Consiglio_Week'!$R:$R"), 0, COLUMNS($A:K)-1 )
  ),
  ""
)</f>
        <v/>
      </c>
      <c r="AW13" s="22" t="str" cm="1">
        <f t="array" aca="1" ref="AW13" ca="1">IFERROR(
  _xlfn.XLOOKUP(
    $B13,
    INDIRECT("'[storico profut.xlsm]Consiglio_Week'!B:B"),
    OFFSET( INDIRECT("'[storico profut.xlsm]Consiglio_Week'!$R:$R"), 0, COLUMNS($A:L)-1 )
  ),
  ""
)</f>
        <v/>
      </c>
      <c r="AX13" s="26" t="str" cm="1">
        <f t="array" aca="1" ref="AX13" ca="1">IFERROR(
  _xlfn.XLOOKUP(
    $B13,
    INDIRECT("'[storico profut.xlsm]Consiglio_Week'!B:B"),
    OFFSET( INDIRECT("'[storico profut.xlsm]Consiglio_Week'!$R:$R"), 0, COLUMNS($A:M)-1 )
  ),
  ""
)</f>
        <v/>
      </c>
      <c r="AY13" s="22" t="s">
        <v>625</v>
      </c>
    </row>
    <row r="14" spans="1:51">
      <c r="A14" t="s">
        <v>518</v>
      </c>
      <c r="B14" t="s">
        <v>587</v>
      </c>
      <c r="C14">
        <v>20</v>
      </c>
      <c r="D14">
        <v>2</v>
      </c>
      <c r="E14" s="6">
        <v>0.625</v>
      </c>
      <c r="F14" s="6">
        <v>0.875</v>
      </c>
      <c r="G14" s="5"/>
      <c r="H14" s="7" t="s">
        <v>640</v>
      </c>
      <c r="Q14" t="s">
        <v>468</v>
      </c>
      <c r="R14">
        <v>1</v>
      </c>
      <c r="S14" t="s">
        <v>593</v>
      </c>
      <c r="AH14" t="str" cm="1">
        <f t="array" aca="1" ref="AH14" ca="1">+IFERROR(_xlfn.XLOOKUP($B14,INDIRECT("'[storico profut.xlsm]Consiglio_Week'!$B:$B"),INDIRECT("'[storico profut.xlsm]Consiglio_Week'!$I:$I")),"")</f>
        <v/>
      </c>
      <c r="AI14" t="str" cm="1">
        <f t="array" aca="1" ref="AI14" ca="1">+IFERROR(_xlfn.XLOOKUP($B14,INDIRECT("'[storico profut.xlsm]Consiglio_Week'!$B:$B"),INDIRECT("'[storico profut.xlsm]Consiglio_Week'!$L:$L")),"")</f>
        <v/>
      </c>
      <c r="AJ14" t="str" cm="1">
        <f t="array" aca="1" ref="AJ14" ca="1">+IFERROR(_xlfn.XLOOKUP($B14,INDIRECT("'[storico profut.xlsm]Consiglio_Week'!$B:$B"),INDIRECT("'[storico profut.xlsm]Consiglio_Week'!$M:$M")),"")</f>
        <v/>
      </c>
      <c r="AK14" t="str" cm="1">
        <f t="array" aca="1" ref="AK14" ca="1">+IFERROR(_xlfn.XLOOKUP($B14,INDIRECT("'[storico profut.xlsm]Consiglio_Week'!$B:$B"),INDIRECT("'[storico profut.xlsm]Consiglio_Week'!$P:$P")),"")</f>
        <v/>
      </c>
      <c r="AL14" s="21" t="str" cm="1">
        <f t="array" aca="1" ref="AL14" ca="1">IFERROR(
  _xlfn.XLOOKUP(
    $B14,
    INDIRECT("'[storico profut.xlsm]Consiglio_Week'!B:B"),
    OFFSET( INDIRECT("'[storico profut.xlsm]Consiglio_Week'!$R:$R"), 0, COLUMNS($A:A)-1 )
  ),
  ""
)</f>
        <v/>
      </c>
      <c r="AM14" s="21" t="str" cm="1">
        <f t="array" aca="1" ref="AM14" ca="1">IFERROR(
  _xlfn.XLOOKUP(
    $B14,
    INDIRECT("'[storico profut.xlsm]Consiglio_Week'!B:B"),
    OFFSET( INDIRECT("'[storico profut.xlsm]Consiglio_Week'!$R:$R"), 0, COLUMNS($A:B)-1 )
  ),
  ""
)</f>
        <v/>
      </c>
      <c r="AN14" s="21" t="str" cm="1">
        <f t="array" aca="1" ref="AN14" ca="1">IFERROR(
  _xlfn.XLOOKUP(
    $B14,
    INDIRECT("'[storico profut.xlsm]Consiglio_Week'!B:B"),
    OFFSET( INDIRECT("'[storico profut.xlsm]Consiglio_Week'!$R:$R"), 0, COLUMNS($A:C)-1 )
  ),
  ""
)</f>
        <v/>
      </c>
      <c r="AO14" s="21" t="str" cm="1">
        <f t="array" aca="1" ref="AO14" ca="1">IFERROR(
  _xlfn.XLOOKUP(
    $B14,
    INDIRECT("'[storico profut.xlsm]Consiglio_Week'!B:B"),
    OFFSET( INDIRECT("'[storico profut.xlsm]Consiglio_Week'!$R:$R"), 0, COLUMNS($A:D)-1 )
  ),
  ""
)</f>
        <v/>
      </c>
      <c r="AP14" s="21" t="str" cm="1">
        <f t="array" aca="1" ref="AP14" ca="1">IFERROR(
  _xlfn.XLOOKUP(
    $B14,
    INDIRECT("'[storico profut.xlsm]Consiglio_Week'!B:B"),
    OFFSET( INDIRECT("'[storico profut.xlsm]Consiglio_Week'!$R:$R"), 0, COLUMNS($A:E)-1 )
  ),
  ""
)</f>
        <v/>
      </c>
      <c r="AQ14" s="22" t="str" cm="1">
        <f t="array" aca="1" ref="AQ14" ca="1">IFERROR(
  _xlfn.XLOOKUP(
    $B14,
    INDIRECT("'[storico profut.xlsm]Consiglio_Week'!B:B"),
    OFFSET( INDIRECT("'[storico profut.xlsm]Consiglio_Week'!$R:$R"), 0, COLUMNS($A:F)-1 )
  ),
  ""
)</f>
        <v/>
      </c>
      <c r="AR14" s="21" t="str" cm="1">
        <f t="array" aca="1" ref="AR14" ca="1">IFERROR(
  _xlfn.XLOOKUP(
    $B14,
    INDIRECT("'[storico profut.xlsm]Consiglio_Week'!B:B"),
    OFFSET( INDIRECT("'[storico profut.xlsm]Consiglio_Week'!$R:$R"), 0, COLUMNS($A:G)-1 )
  ),
  ""
)</f>
        <v/>
      </c>
      <c r="AS14" s="21" t="str" cm="1">
        <f t="array" aca="1" ref="AS14" ca="1">IFERROR(
  _xlfn.XLOOKUP(
    $B14,
    INDIRECT("'[storico profut.xlsm]Consiglio_Week'!B:B"),
    OFFSET( INDIRECT("'[storico profut.xlsm]Consiglio_Week'!$R:$R"), 0, COLUMNS($A:H)-1 )
  ),
  ""
)</f>
        <v/>
      </c>
      <c r="AT14" s="21" t="str" cm="1">
        <f t="array" aca="1" ref="AT14" ca="1">IFERROR(
  _xlfn.XLOOKUP(
    $B14,
    INDIRECT("'[storico profut.xlsm]Consiglio_Week'!B:B"),
    OFFSET( INDIRECT("'[storico profut.xlsm]Consiglio_Week'!$R:$R"), 0, COLUMNS($A:I)-1 )
  ),
  ""
)</f>
        <v/>
      </c>
      <c r="AU14" s="22" t="str" cm="1">
        <f t="array" aca="1" ref="AU14" ca="1">IFERROR(
  _xlfn.XLOOKUP(
    $B14,
    INDIRECT("'[storico profut.xlsm]Consiglio_Week'!B:B"),
    OFFSET( INDIRECT("'[storico profut.xlsm]Consiglio_Week'!$R:$R"), 0, COLUMNS($A:J)-1 )
  ),
  ""
)</f>
        <v/>
      </c>
      <c r="AV14" s="22" t="str" cm="1">
        <f t="array" aca="1" ref="AV14" ca="1">IFERROR(
  _xlfn.XLOOKUP(
    $B14,
    INDIRECT("'[storico profut.xlsm]Consiglio_Week'!B:B"),
    OFFSET( INDIRECT("'[storico profut.xlsm]Consiglio_Week'!$R:$R"), 0, COLUMNS($A:K)-1 )
  ),
  ""
)</f>
        <v/>
      </c>
      <c r="AW14" s="22" t="str" cm="1">
        <f t="array" aca="1" ref="AW14" ca="1">IFERROR(
  _xlfn.XLOOKUP(
    $B14,
    INDIRECT("'[storico profut.xlsm]Consiglio_Week'!B:B"),
    OFFSET( INDIRECT("'[storico profut.xlsm]Consiglio_Week'!$R:$R"), 0, COLUMNS($A:L)-1 )
  ),
  ""
)</f>
        <v/>
      </c>
      <c r="AX14" s="26" t="str" cm="1">
        <f t="array" aca="1" ref="AX14" ca="1">IFERROR(
  _xlfn.XLOOKUP(
    $B14,
    INDIRECT("'[storico profut.xlsm]Consiglio_Week'!B:B"),
    OFFSET( INDIRECT("'[storico profut.xlsm]Consiglio_Week'!$R:$R"), 0, COLUMNS($A:M)-1 )
  ),
  ""
)</f>
        <v/>
      </c>
      <c r="AY14" s="22">
        <v>0</v>
      </c>
    </row>
    <row r="15" spans="1:51">
      <c r="A15" t="s">
        <v>519</v>
      </c>
      <c r="B15" t="s">
        <v>588</v>
      </c>
      <c r="C15">
        <v>20</v>
      </c>
      <c r="D15">
        <v>2</v>
      </c>
      <c r="E15" s="6">
        <v>0.625</v>
      </c>
      <c r="F15" s="6">
        <v>0.875</v>
      </c>
      <c r="G15" s="7"/>
      <c r="H15" s="5" t="s">
        <v>640</v>
      </c>
      <c r="Q15" t="s">
        <v>468</v>
      </c>
      <c r="R15">
        <v>1</v>
      </c>
      <c r="S15" t="s">
        <v>593</v>
      </c>
      <c r="AH15" t="str" cm="1">
        <f t="array" aca="1" ref="AH15" ca="1">+IFERROR(_xlfn.XLOOKUP($B15,INDIRECT("'[storico profut.xlsm]Consiglio_Week'!$B:$B"),INDIRECT("'[storico profut.xlsm]Consiglio_Week'!$I:$I")),"")</f>
        <v/>
      </c>
      <c r="AI15" t="str" cm="1">
        <f t="array" aca="1" ref="AI15" ca="1">+IFERROR(_xlfn.XLOOKUP($B15,INDIRECT("'[storico profut.xlsm]Consiglio_Week'!$B:$B"),INDIRECT("'[storico profut.xlsm]Consiglio_Week'!$L:$L")),"")</f>
        <v/>
      </c>
      <c r="AJ15" t="str" cm="1">
        <f t="array" aca="1" ref="AJ15" ca="1">+IFERROR(_xlfn.XLOOKUP($B15,INDIRECT("'[storico profut.xlsm]Consiglio_Week'!$B:$B"),INDIRECT("'[storico profut.xlsm]Consiglio_Week'!$M:$M")),"")</f>
        <v/>
      </c>
      <c r="AK15" t="str" cm="1">
        <f t="array" aca="1" ref="AK15" ca="1">+IFERROR(_xlfn.XLOOKUP($B15,INDIRECT("'[storico profut.xlsm]Consiglio_Week'!$B:$B"),INDIRECT("'[storico profut.xlsm]Consiglio_Week'!$P:$P")),"")</f>
        <v/>
      </c>
      <c r="AL15" s="21" t="str" cm="1">
        <f t="array" aca="1" ref="AL15" ca="1">IFERROR(
  _xlfn.XLOOKUP(
    $B15,
    INDIRECT("'[storico profut.xlsm]Consiglio_Week'!B:B"),
    OFFSET( INDIRECT("'[storico profut.xlsm]Consiglio_Week'!$R:$R"), 0, COLUMNS($A:A)-1 )
  ),
  ""
)</f>
        <v/>
      </c>
      <c r="AM15" s="21" t="str" cm="1">
        <f t="array" aca="1" ref="AM15" ca="1">IFERROR(
  _xlfn.XLOOKUP(
    $B15,
    INDIRECT("'[storico profut.xlsm]Consiglio_Week'!B:B"),
    OFFSET( INDIRECT("'[storico profut.xlsm]Consiglio_Week'!$R:$R"), 0, COLUMNS($A:B)-1 )
  ),
  ""
)</f>
        <v/>
      </c>
      <c r="AN15" s="21" t="str" cm="1">
        <f t="array" aca="1" ref="AN15" ca="1">IFERROR(
  _xlfn.XLOOKUP(
    $B15,
    INDIRECT("'[storico profut.xlsm]Consiglio_Week'!B:B"),
    OFFSET( INDIRECT("'[storico profut.xlsm]Consiglio_Week'!$R:$R"), 0, COLUMNS($A:C)-1 )
  ),
  ""
)</f>
        <v/>
      </c>
      <c r="AO15" s="21" t="str" cm="1">
        <f t="array" aca="1" ref="AO15" ca="1">IFERROR(
  _xlfn.XLOOKUP(
    $B15,
    INDIRECT("'[storico profut.xlsm]Consiglio_Week'!B:B"),
    OFFSET( INDIRECT("'[storico profut.xlsm]Consiglio_Week'!$R:$R"), 0, COLUMNS($A:D)-1 )
  ),
  ""
)</f>
        <v/>
      </c>
      <c r="AP15" s="21" t="str" cm="1">
        <f t="array" aca="1" ref="AP15" ca="1">IFERROR(
  _xlfn.XLOOKUP(
    $B15,
    INDIRECT("'[storico profut.xlsm]Consiglio_Week'!B:B"),
    OFFSET( INDIRECT("'[storico profut.xlsm]Consiglio_Week'!$R:$R"), 0, COLUMNS($A:E)-1 )
  ),
  ""
)</f>
        <v/>
      </c>
      <c r="AQ15" s="22" t="str" cm="1">
        <f t="array" aca="1" ref="AQ15" ca="1">IFERROR(
  _xlfn.XLOOKUP(
    $B15,
    INDIRECT("'[storico profut.xlsm]Consiglio_Week'!B:B"),
    OFFSET( INDIRECT("'[storico profut.xlsm]Consiglio_Week'!$R:$R"), 0, COLUMNS($A:F)-1 )
  ),
  ""
)</f>
        <v/>
      </c>
      <c r="AR15" s="21" t="str" cm="1">
        <f t="array" aca="1" ref="AR15" ca="1">IFERROR(
  _xlfn.XLOOKUP(
    $B15,
    INDIRECT("'[storico profut.xlsm]Consiglio_Week'!B:B"),
    OFFSET( INDIRECT("'[storico profut.xlsm]Consiglio_Week'!$R:$R"), 0, COLUMNS($A:G)-1 )
  ),
  ""
)</f>
        <v/>
      </c>
      <c r="AS15" s="21" t="str" cm="1">
        <f t="array" aca="1" ref="AS15" ca="1">IFERROR(
  _xlfn.XLOOKUP(
    $B15,
    INDIRECT("'[storico profut.xlsm]Consiglio_Week'!B:B"),
    OFFSET( INDIRECT("'[storico profut.xlsm]Consiglio_Week'!$R:$R"), 0, COLUMNS($A:H)-1 )
  ),
  ""
)</f>
        <v/>
      </c>
      <c r="AT15" s="21" t="str" cm="1">
        <f t="array" aca="1" ref="AT15" ca="1">IFERROR(
  _xlfn.XLOOKUP(
    $B15,
    INDIRECT("'[storico profut.xlsm]Consiglio_Week'!B:B"),
    OFFSET( INDIRECT("'[storico profut.xlsm]Consiglio_Week'!$R:$R"), 0, COLUMNS($A:I)-1 )
  ),
  ""
)</f>
        <v/>
      </c>
      <c r="AU15" s="22" t="str" cm="1">
        <f t="array" aca="1" ref="AU15" ca="1">IFERROR(
  _xlfn.XLOOKUP(
    $B15,
    INDIRECT("'[storico profut.xlsm]Consiglio_Week'!B:B"),
    OFFSET( INDIRECT("'[storico profut.xlsm]Consiglio_Week'!$R:$R"), 0, COLUMNS($A:J)-1 )
  ),
  ""
)</f>
        <v/>
      </c>
      <c r="AV15" s="22" t="str" cm="1">
        <f t="array" aca="1" ref="AV15" ca="1">IFERROR(
  _xlfn.XLOOKUP(
    $B15,
    INDIRECT("'[storico profut.xlsm]Consiglio_Week'!B:B"),
    OFFSET( INDIRECT("'[storico profut.xlsm]Consiglio_Week'!$R:$R"), 0, COLUMNS($A:K)-1 )
  ),
  ""
)</f>
        <v/>
      </c>
      <c r="AW15" s="22" t="str" cm="1">
        <f t="array" aca="1" ref="AW15" ca="1">IFERROR(
  _xlfn.XLOOKUP(
    $B15,
    INDIRECT("'[storico profut.xlsm]Consiglio_Week'!B:B"),
    OFFSET( INDIRECT("'[storico profut.xlsm]Consiglio_Week'!$R:$R"), 0, COLUMNS($A:L)-1 )
  ),
  ""
)</f>
        <v/>
      </c>
      <c r="AX15" s="26" t="str" cm="1">
        <f t="array" aca="1" ref="AX15" ca="1">IFERROR(
  _xlfn.XLOOKUP(
    $B15,
    INDIRECT("'[storico profut.xlsm]Consiglio_Week'!B:B"),
    OFFSET( INDIRECT("'[storico profut.xlsm]Consiglio_Week'!$R:$R"), 0, COLUMNS($A:M)-1 )
  ),
  ""
)</f>
        <v/>
      </c>
      <c r="AY15" s="22">
        <v>0</v>
      </c>
    </row>
    <row r="16" spans="1:51">
      <c r="A16" t="s">
        <v>520</v>
      </c>
      <c r="B16" t="s">
        <v>589</v>
      </c>
      <c r="C16">
        <v>20</v>
      </c>
      <c r="D16">
        <v>2</v>
      </c>
      <c r="E16" s="6">
        <v>0.375</v>
      </c>
      <c r="F16" s="6">
        <v>0.54166666666666663</v>
      </c>
      <c r="G16" s="5"/>
      <c r="H16" s="5" t="s">
        <v>640</v>
      </c>
      <c r="Q16" t="s">
        <v>468</v>
      </c>
      <c r="R16">
        <v>0</v>
      </c>
      <c r="S16" t="s">
        <v>593</v>
      </c>
      <c r="AH16" t="str" cm="1">
        <f t="array" aca="1" ref="AH16" ca="1">+IFERROR(_xlfn.XLOOKUP($B16,INDIRECT("'[storico profut.xlsm]Consiglio_Week'!$B:$B"),INDIRECT("'[storico profut.xlsm]Consiglio_Week'!$I:$I")),"")</f>
        <v/>
      </c>
      <c r="AI16" t="str" cm="1">
        <f t="array" aca="1" ref="AI16" ca="1">+IFERROR(_xlfn.XLOOKUP($B16,INDIRECT("'[storico profut.xlsm]Consiglio_Week'!$B:$B"),INDIRECT("'[storico profut.xlsm]Consiglio_Week'!$L:$L")),"")</f>
        <v/>
      </c>
      <c r="AJ16" t="str" cm="1">
        <f t="array" aca="1" ref="AJ16" ca="1">+IFERROR(_xlfn.XLOOKUP($B16,INDIRECT("'[storico profut.xlsm]Consiglio_Week'!$B:$B"),INDIRECT("'[storico profut.xlsm]Consiglio_Week'!$M:$M")),"")</f>
        <v/>
      </c>
      <c r="AK16" t="str" cm="1">
        <f t="array" aca="1" ref="AK16" ca="1">+IFERROR(_xlfn.XLOOKUP($B16,INDIRECT("'[storico profut.xlsm]Consiglio_Week'!$B:$B"),INDIRECT("'[storico profut.xlsm]Consiglio_Week'!$P:$P")),"")</f>
        <v/>
      </c>
      <c r="AL16" s="21" t="str" cm="1">
        <f t="array" aca="1" ref="AL16" ca="1">IFERROR(
  _xlfn.XLOOKUP(
    $B16,
    INDIRECT("'[storico profut.xlsm]Consiglio_Week'!B:B"),
    OFFSET( INDIRECT("'[storico profut.xlsm]Consiglio_Week'!$R:$R"), 0, COLUMNS($A:A)-1 )
  ),
  ""
)</f>
        <v/>
      </c>
      <c r="AM16" s="21" t="str" cm="1">
        <f t="array" aca="1" ref="AM16" ca="1">IFERROR(
  _xlfn.XLOOKUP(
    $B16,
    INDIRECT("'[storico profut.xlsm]Consiglio_Week'!B:B"),
    OFFSET( INDIRECT("'[storico profut.xlsm]Consiglio_Week'!$R:$R"), 0, COLUMNS($A:B)-1 )
  ),
  ""
)</f>
        <v/>
      </c>
      <c r="AN16" s="21" t="str" cm="1">
        <f t="array" aca="1" ref="AN16" ca="1">IFERROR(
  _xlfn.XLOOKUP(
    $B16,
    INDIRECT("'[storico profut.xlsm]Consiglio_Week'!B:B"),
    OFFSET( INDIRECT("'[storico profut.xlsm]Consiglio_Week'!$R:$R"), 0, COLUMNS($A:C)-1 )
  ),
  ""
)</f>
        <v/>
      </c>
      <c r="AO16" s="21" t="str" cm="1">
        <f t="array" aca="1" ref="AO16" ca="1">IFERROR(
  _xlfn.XLOOKUP(
    $B16,
    INDIRECT("'[storico profut.xlsm]Consiglio_Week'!B:B"),
    OFFSET( INDIRECT("'[storico profut.xlsm]Consiglio_Week'!$R:$R"), 0, COLUMNS($A:D)-1 )
  ),
  ""
)</f>
        <v/>
      </c>
      <c r="AP16" s="21" t="str" cm="1">
        <f t="array" aca="1" ref="AP16" ca="1">IFERROR(
  _xlfn.XLOOKUP(
    $B16,
    INDIRECT("'[storico profut.xlsm]Consiglio_Week'!B:B"),
    OFFSET( INDIRECT("'[storico profut.xlsm]Consiglio_Week'!$R:$R"), 0, COLUMNS($A:E)-1 )
  ),
  ""
)</f>
        <v/>
      </c>
      <c r="AQ16" s="22" t="str" cm="1">
        <f t="array" aca="1" ref="AQ16" ca="1">IFERROR(
  _xlfn.XLOOKUP(
    $B16,
    INDIRECT("'[storico profut.xlsm]Consiglio_Week'!B:B"),
    OFFSET( INDIRECT("'[storico profut.xlsm]Consiglio_Week'!$R:$R"), 0, COLUMNS($A:F)-1 )
  ),
  ""
)</f>
        <v/>
      </c>
      <c r="AR16" s="21" t="str" cm="1">
        <f t="array" aca="1" ref="AR16" ca="1">IFERROR(
  _xlfn.XLOOKUP(
    $B16,
    INDIRECT("'[storico profut.xlsm]Consiglio_Week'!B:B"),
    OFFSET( INDIRECT("'[storico profut.xlsm]Consiglio_Week'!$R:$R"), 0, COLUMNS($A:G)-1 )
  ),
  ""
)</f>
        <v/>
      </c>
      <c r="AS16" s="21" t="str" cm="1">
        <f t="array" aca="1" ref="AS16" ca="1">IFERROR(
  _xlfn.XLOOKUP(
    $B16,
    INDIRECT("'[storico profut.xlsm]Consiglio_Week'!B:B"),
    OFFSET( INDIRECT("'[storico profut.xlsm]Consiglio_Week'!$R:$R"), 0, COLUMNS($A:H)-1 )
  ),
  ""
)</f>
        <v/>
      </c>
      <c r="AT16" s="21" t="str" cm="1">
        <f t="array" aca="1" ref="AT16" ca="1">IFERROR(
  _xlfn.XLOOKUP(
    $B16,
    INDIRECT("'[storico profut.xlsm]Consiglio_Week'!B:B"),
    OFFSET( INDIRECT("'[storico profut.xlsm]Consiglio_Week'!$R:$R"), 0, COLUMNS($A:I)-1 )
  ),
  ""
)</f>
        <v/>
      </c>
      <c r="AU16" s="22" t="str" cm="1">
        <f t="array" aca="1" ref="AU16" ca="1">IFERROR(
  _xlfn.XLOOKUP(
    $B16,
    INDIRECT("'[storico profut.xlsm]Consiglio_Week'!B:B"),
    OFFSET( INDIRECT("'[storico profut.xlsm]Consiglio_Week'!$R:$R"), 0, COLUMNS($A:J)-1 )
  ),
  ""
)</f>
        <v/>
      </c>
      <c r="AV16" s="22" t="str" cm="1">
        <f t="array" aca="1" ref="AV16" ca="1">IFERROR(
  _xlfn.XLOOKUP(
    $B16,
    INDIRECT("'[storico profut.xlsm]Consiglio_Week'!B:B"),
    OFFSET( INDIRECT("'[storico profut.xlsm]Consiglio_Week'!$R:$R"), 0, COLUMNS($A:K)-1 )
  ),
  ""
)</f>
        <v/>
      </c>
      <c r="AW16" s="22" t="str" cm="1">
        <f t="array" aca="1" ref="AW16" ca="1">IFERROR(
  _xlfn.XLOOKUP(
    $B16,
    INDIRECT("'[storico profut.xlsm]Consiglio_Week'!B:B"),
    OFFSET( INDIRECT("'[storico profut.xlsm]Consiglio_Week'!$R:$R"), 0, COLUMNS($A:L)-1 )
  ),
  ""
)</f>
        <v/>
      </c>
      <c r="AX16" s="26" t="str" cm="1">
        <f t="array" aca="1" ref="AX16" ca="1">IFERROR(
  _xlfn.XLOOKUP(
    $B16,
    INDIRECT("'[storico profut.xlsm]Consiglio_Week'!B:B"),
    OFFSET( INDIRECT("'[storico profut.xlsm]Consiglio_Week'!$R:$R"), 0, COLUMNS($A:M)-1 )
  ),
  ""
)</f>
        <v/>
      </c>
      <c r="AY16" s="22" t="s">
        <v>626</v>
      </c>
    </row>
    <row r="17" spans="1:51">
      <c r="A17" t="s">
        <v>521</v>
      </c>
      <c r="B17" t="s">
        <v>590</v>
      </c>
      <c r="C17">
        <v>20</v>
      </c>
      <c r="D17">
        <v>2</v>
      </c>
      <c r="E17" s="6">
        <v>0.625</v>
      </c>
      <c r="F17" s="6">
        <v>0.875</v>
      </c>
      <c r="G17" s="5"/>
      <c r="H17" s="5" t="s">
        <v>640</v>
      </c>
      <c r="Q17" t="s">
        <v>468</v>
      </c>
      <c r="R17">
        <v>1</v>
      </c>
      <c r="S17" t="s">
        <v>593</v>
      </c>
      <c r="AH17" t="str" cm="1">
        <f t="array" aca="1" ref="AH17" ca="1">+IFERROR(_xlfn.XLOOKUP($B17,INDIRECT("'[storico profut.xlsm]Consiglio_Week'!$B:$B"),INDIRECT("'[storico profut.xlsm]Consiglio_Week'!$I:$I")),"")</f>
        <v/>
      </c>
      <c r="AI17" t="str" cm="1">
        <f t="array" aca="1" ref="AI17" ca="1">+IFERROR(_xlfn.XLOOKUP($B17,INDIRECT("'[storico profut.xlsm]Consiglio_Week'!$B:$B"),INDIRECT("'[storico profut.xlsm]Consiglio_Week'!$L:$L")),"")</f>
        <v/>
      </c>
      <c r="AJ17" t="str" cm="1">
        <f t="array" aca="1" ref="AJ17" ca="1">+IFERROR(_xlfn.XLOOKUP($B17,INDIRECT("'[storico profut.xlsm]Consiglio_Week'!$B:$B"),INDIRECT("'[storico profut.xlsm]Consiglio_Week'!$M:$M")),"")</f>
        <v/>
      </c>
      <c r="AK17" t="str" cm="1">
        <f t="array" aca="1" ref="AK17" ca="1">+IFERROR(_xlfn.XLOOKUP($B17,INDIRECT("'[storico profut.xlsm]Consiglio_Week'!$B:$B"),INDIRECT("'[storico profut.xlsm]Consiglio_Week'!$P:$P")),"")</f>
        <v/>
      </c>
      <c r="AL17" s="21" t="str" cm="1">
        <f t="array" aca="1" ref="AL17" ca="1">IFERROR(
  _xlfn.XLOOKUP(
    $B17,
    INDIRECT("'[storico profut.xlsm]Consiglio_Week'!B:B"),
    OFFSET( INDIRECT("'[storico profut.xlsm]Consiglio_Week'!$R:$R"), 0, COLUMNS($A:A)-1 )
  ),
  ""
)</f>
        <v/>
      </c>
      <c r="AM17" s="21" t="str" cm="1">
        <f t="array" aca="1" ref="AM17" ca="1">IFERROR(
  _xlfn.XLOOKUP(
    $B17,
    INDIRECT("'[storico profut.xlsm]Consiglio_Week'!B:B"),
    OFFSET( INDIRECT("'[storico profut.xlsm]Consiglio_Week'!$R:$R"), 0, COLUMNS($A:B)-1 )
  ),
  ""
)</f>
        <v/>
      </c>
      <c r="AN17" s="21" t="str" cm="1">
        <f t="array" aca="1" ref="AN17" ca="1">IFERROR(
  _xlfn.XLOOKUP(
    $B17,
    INDIRECT("'[storico profut.xlsm]Consiglio_Week'!B:B"),
    OFFSET( INDIRECT("'[storico profut.xlsm]Consiglio_Week'!$R:$R"), 0, COLUMNS($A:C)-1 )
  ),
  ""
)</f>
        <v/>
      </c>
      <c r="AO17" s="21" t="str" cm="1">
        <f t="array" aca="1" ref="AO17" ca="1">IFERROR(
  _xlfn.XLOOKUP(
    $B17,
    INDIRECT("'[storico profut.xlsm]Consiglio_Week'!B:B"),
    OFFSET( INDIRECT("'[storico profut.xlsm]Consiglio_Week'!$R:$R"), 0, COLUMNS($A:D)-1 )
  ),
  ""
)</f>
        <v/>
      </c>
      <c r="AP17" s="21" t="str" cm="1">
        <f t="array" aca="1" ref="AP17" ca="1">IFERROR(
  _xlfn.XLOOKUP(
    $B17,
    INDIRECT("'[storico profut.xlsm]Consiglio_Week'!B:B"),
    OFFSET( INDIRECT("'[storico profut.xlsm]Consiglio_Week'!$R:$R"), 0, COLUMNS($A:E)-1 )
  ),
  ""
)</f>
        <v/>
      </c>
      <c r="AQ17" s="22" t="str" cm="1">
        <f t="array" aca="1" ref="AQ17" ca="1">IFERROR(
  _xlfn.XLOOKUP(
    $B17,
    INDIRECT("'[storico profut.xlsm]Consiglio_Week'!B:B"),
    OFFSET( INDIRECT("'[storico profut.xlsm]Consiglio_Week'!$R:$R"), 0, COLUMNS($A:F)-1 )
  ),
  ""
)</f>
        <v/>
      </c>
      <c r="AR17" s="21" t="str" cm="1">
        <f t="array" aca="1" ref="AR17" ca="1">IFERROR(
  _xlfn.XLOOKUP(
    $B17,
    INDIRECT("'[storico profut.xlsm]Consiglio_Week'!B:B"),
    OFFSET( INDIRECT("'[storico profut.xlsm]Consiglio_Week'!$R:$R"), 0, COLUMNS($A:G)-1 )
  ),
  ""
)</f>
        <v/>
      </c>
      <c r="AS17" s="21" t="str" cm="1">
        <f t="array" aca="1" ref="AS17" ca="1">IFERROR(
  _xlfn.XLOOKUP(
    $B17,
    INDIRECT("'[storico profut.xlsm]Consiglio_Week'!B:B"),
    OFFSET( INDIRECT("'[storico profut.xlsm]Consiglio_Week'!$R:$R"), 0, COLUMNS($A:H)-1 )
  ),
  ""
)</f>
        <v/>
      </c>
      <c r="AT17" s="21" t="str" cm="1">
        <f t="array" aca="1" ref="AT17" ca="1">IFERROR(
  _xlfn.XLOOKUP(
    $B17,
    INDIRECT("'[storico profut.xlsm]Consiglio_Week'!B:B"),
    OFFSET( INDIRECT("'[storico profut.xlsm]Consiglio_Week'!$R:$R"), 0, COLUMNS($A:I)-1 )
  ),
  ""
)</f>
        <v/>
      </c>
      <c r="AU17" s="22" t="str" cm="1">
        <f t="array" aca="1" ref="AU17" ca="1">IFERROR(
  _xlfn.XLOOKUP(
    $B17,
    INDIRECT("'[storico profut.xlsm]Consiglio_Week'!B:B"),
    OFFSET( INDIRECT("'[storico profut.xlsm]Consiglio_Week'!$R:$R"), 0, COLUMNS($A:J)-1 )
  ),
  ""
)</f>
        <v/>
      </c>
      <c r="AV17" s="22" t="str" cm="1">
        <f t="array" aca="1" ref="AV17" ca="1">IFERROR(
  _xlfn.XLOOKUP(
    $B17,
    INDIRECT("'[storico profut.xlsm]Consiglio_Week'!B:B"),
    OFFSET( INDIRECT("'[storico profut.xlsm]Consiglio_Week'!$R:$R"), 0, COLUMNS($A:K)-1 )
  ),
  ""
)</f>
        <v/>
      </c>
      <c r="AW17" s="22" t="str" cm="1">
        <f t="array" aca="1" ref="AW17" ca="1">IFERROR(
  _xlfn.XLOOKUP(
    $B17,
    INDIRECT("'[storico profut.xlsm]Consiglio_Week'!B:B"),
    OFFSET( INDIRECT("'[storico profut.xlsm]Consiglio_Week'!$R:$R"), 0, COLUMNS($A:L)-1 )
  ),
  ""
)</f>
        <v/>
      </c>
      <c r="AX17" s="26" t="str" cm="1">
        <f t="array" aca="1" ref="AX17" ca="1">IFERROR(
  _xlfn.XLOOKUP(
    $B17,
    INDIRECT("'[storico profut.xlsm]Consiglio_Week'!B:B"),
    OFFSET( INDIRECT("'[storico profut.xlsm]Consiglio_Week'!$R:$R"), 0, COLUMNS($A:M)-1 )
  ),
  ""
)</f>
        <v/>
      </c>
      <c r="AY17" s="22">
        <v>0</v>
      </c>
    </row>
    <row r="18" spans="1:51">
      <c r="A18" t="s">
        <v>522</v>
      </c>
      <c r="B18" t="s">
        <v>411</v>
      </c>
      <c r="C18">
        <v>20</v>
      </c>
      <c r="D18">
        <v>2</v>
      </c>
      <c r="E18" s="6">
        <v>0.375</v>
      </c>
      <c r="F18" s="6">
        <v>0.625</v>
      </c>
      <c r="G18" s="5"/>
      <c r="H18" s="5"/>
      <c r="Q18" t="s">
        <v>468</v>
      </c>
      <c r="R18">
        <v>1</v>
      </c>
      <c r="S18" t="s">
        <v>573</v>
      </c>
      <c r="AH18" t="str" cm="1">
        <f t="array" aca="1" ref="AH18" ca="1">+IFERROR(_xlfn.XLOOKUP($B18,INDIRECT("'[storico profut.xlsm]Consiglio_Week'!$B:$B"),INDIRECT("'[storico profut.xlsm]Consiglio_Week'!$I:$I")),"")</f>
        <v/>
      </c>
      <c r="AI18" t="str" cm="1">
        <f t="array" aca="1" ref="AI18" ca="1">+IFERROR(_xlfn.XLOOKUP($B18,INDIRECT("'[storico profut.xlsm]Consiglio_Week'!$B:$B"),INDIRECT("'[storico profut.xlsm]Consiglio_Week'!$L:$L")),"")</f>
        <v/>
      </c>
      <c r="AJ18" t="str" cm="1">
        <f t="array" aca="1" ref="AJ18" ca="1">+IFERROR(_xlfn.XLOOKUP($B18,INDIRECT("'[storico profut.xlsm]Consiglio_Week'!$B:$B"),INDIRECT("'[storico profut.xlsm]Consiglio_Week'!$M:$M")),"")</f>
        <v/>
      </c>
      <c r="AK18" t="str" cm="1">
        <f t="array" aca="1" ref="AK18" ca="1">+IFERROR(_xlfn.XLOOKUP($B18,INDIRECT("'[storico profut.xlsm]Consiglio_Week'!$B:$B"),INDIRECT("'[storico profut.xlsm]Consiglio_Week'!$P:$P")),"")</f>
        <v/>
      </c>
      <c r="AL18" s="21" t="str" cm="1">
        <f t="array" aca="1" ref="AL18" ca="1">IFERROR(
  _xlfn.XLOOKUP(
    $B18,
    INDIRECT("'[storico profut.xlsm]Consiglio_Week'!B:B"),
    OFFSET( INDIRECT("'[storico profut.xlsm]Consiglio_Week'!$R:$R"), 0, COLUMNS($A:A)-1 )
  ),
  ""
)</f>
        <v/>
      </c>
      <c r="AM18" s="21" t="str" cm="1">
        <f t="array" aca="1" ref="AM18" ca="1">IFERROR(
  _xlfn.XLOOKUP(
    $B18,
    INDIRECT("'[storico profut.xlsm]Consiglio_Week'!B:B"),
    OFFSET( INDIRECT("'[storico profut.xlsm]Consiglio_Week'!$R:$R"), 0, COLUMNS($A:B)-1 )
  ),
  ""
)</f>
        <v/>
      </c>
      <c r="AN18" s="21" t="str" cm="1">
        <f t="array" aca="1" ref="AN18" ca="1">IFERROR(
  _xlfn.XLOOKUP(
    $B18,
    INDIRECT("'[storico profut.xlsm]Consiglio_Week'!B:B"),
    OFFSET( INDIRECT("'[storico profut.xlsm]Consiglio_Week'!$R:$R"), 0, COLUMNS($A:C)-1 )
  ),
  ""
)</f>
        <v/>
      </c>
      <c r="AO18" s="21" t="str" cm="1">
        <f t="array" aca="1" ref="AO18" ca="1">IFERROR(
  _xlfn.XLOOKUP(
    $B18,
    INDIRECT("'[storico profut.xlsm]Consiglio_Week'!B:B"),
    OFFSET( INDIRECT("'[storico profut.xlsm]Consiglio_Week'!$R:$R"), 0, COLUMNS($A:D)-1 )
  ),
  ""
)</f>
        <v/>
      </c>
      <c r="AP18" s="21" t="str" cm="1">
        <f t="array" aca="1" ref="AP18" ca="1">IFERROR(
  _xlfn.XLOOKUP(
    $B18,
    INDIRECT("'[storico profut.xlsm]Consiglio_Week'!B:B"),
    OFFSET( INDIRECT("'[storico profut.xlsm]Consiglio_Week'!$R:$R"), 0, COLUMNS($A:E)-1 )
  ),
  ""
)</f>
        <v/>
      </c>
      <c r="AQ18" s="22" t="str" cm="1">
        <f t="array" aca="1" ref="AQ18" ca="1">IFERROR(
  _xlfn.XLOOKUP(
    $B18,
    INDIRECT("'[storico profut.xlsm]Consiglio_Week'!B:B"),
    OFFSET( INDIRECT("'[storico profut.xlsm]Consiglio_Week'!$R:$R"), 0, COLUMNS($A:F)-1 )
  ),
  ""
)</f>
        <v/>
      </c>
      <c r="AR18" s="21" t="str" cm="1">
        <f t="array" aca="1" ref="AR18" ca="1">IFERROR(
  _xlfn.XLOOKUP(
    $B18,
    INDIRECT("'[storico profut.xlsm]Consiglio_Week'!B:B"),
    OFFSET( INDIRECT("'[storico profut.xlsm]Consiglio_Week'!$R:$R"), 0, COLUMNS($A:G)-1 )
  ),
  ""
)</f>
        <v/>
      </c>
      <c r="AS18" s="21" t="str" cm="1">
        <f t="array" aca="1" ref="AS18" ca="1">IFERROR(
  _xlfn.XLOOKUP(
    $B18,
    INDIRECT("'[storico profut.xlsm]Consiglio_Week'!B:B"),
    OFFSET( INDIRECT("'[storico profut.xlsm]Consiglio_Week'!$R:$R"), 0, COLUMNS($A:H)-1 )
  ),
  ""
)</f>
        <v/>
      </c>
      <c r="AT18" s="21" t="str" cm="1">
        <f t="array" aca="1" ref="AT18" ca="1">IFERROR(
  _xlfn.XLOOKUP(
    $B18,
    INDIRECT("'[storico profut.xlsm]Consiglio_Week'!B:B"),
    OFFSET( INDIRECT("'[storico profut.xlsm]Consiglio_Week'!$R:$R"), 0, COLUMNS($A:I)-1 )
  ),
  ""
)</f>
        <v/>
      </c>
      <c r="AU18" s="22" t="str" cm="1">
        <f t="array" aca="1" ref="AU18" ca="1">IFERROR(
  _xlfn.XLOOKUP(
    $B18,
    INDIRECT("'[storico profut.xlsm]Consiglio_Week'!B:B"),
    OFFSET( INDIRECT("'[storico profut.xlsm]Consiglio_Week'!$R:$R"), 0, COLUMNS($A:J)-1 )
  ),
  ""
)</f>
        <v/>
      </c>
      <c r="AV18" s="22" t="str" cm="1">
        <f t="array" aca="1" ref="AV18" ca="1">IFERROR(
  _xlfn.XLOOKUP(
    $B18,
    INDIRECT("'[storico profut.xlsm]Consiglio_Week'!B:B"),
    OFFSET( INDIRECT("'[storico profut.xlsm]Consiglio_Week'!$R:$R"), 0, COLUMNS($A:K)-1 )
  ),
  ""
)</f>
        <v/>
      </c>
      <c r="AW18" s="22" t="str" cm="1">
        <f t="array" aca="1" ref="AW18" ca="1">IFERROR(
  _xlfn.XLOOKUP(
    $B18,
    INDIRECT("'[storico profut.xlsm]Consiglio_Week'!B:B"),
    OFFSET( INDIRECT("'[storico profut.xlsm]Consiglio_Week'!$R:$R"), 0, COLUMNS($A:L)-1 )
  ),
  ""
)</f>
        <v/>
      </c>
      <c r="AX18" s="26" t="str" cm="1">
        <f t="array" aca="1" ref="AX18" ca="1">IFERROR(
  _xlfn.XLOOKUP(
    $B18,
    INDIRECT("'[storico profut.xlsm]Consiglio_Week'!B:B"),
    OFFSET( INDIRECT("'[storico profut.xlsm]Consiglio_Week'!$R:$R"), 0, COLUMNS($A:M)-1 )
  ),
  ""
)</f>
        <v/>
      </c>
      <c r="AY18" s="22">
        <v>0</v>
      </c>
    </row>
    <row r="19" spans="1:51">
      <c r="A19" t="s">
        <v>523</v>
      </c>
      <c r="B19" t="s">
        <v>412</v>
      </c>
      <c r="C19">
        <v>20</v>
      </c>
      <c r="D19">
        <v>2</v>
      </c>
      <c r="E19" s="6">
        <v>0.375</v>
      </c>
      <c r="F19" s="6">
        <v>0.625</v>
      </c>
      <c r="G19" s="5"/>
      <c r="H19" s="5"/>
      <c r="Q19" t="s">
        <v>468</v>
      </c>
      <c r="R19">
        <v>1</v>
      </c>
      <c r="S19" t="s">
        <v>573</v>
      </c>
      <c r="AH19" t="str" cm="1">
        <f t="array" aca="1" ref="AH19" ca="1">+IFERROR(_xlfn.XLOOKUP($B19,INDIRECT("'[storico profut.xlsm]Consiglio_Week'!$B:$B"),INDIRECT("'[storico profut.xlsm]Consiglio_Week'!$I:$I")),"")</f>
        <v/>
      </c>
      <c r="AI19" t="str" cm="1">
        <f t="array" aca="1" ref="AI19" ca="1">+IFERROR(_xlfn.XLOOKUP($B19,INDIRECT("'[storico profut.xlsm]Consiglio_Week'!$B:$B"),INDIRECT("'[storico profut.xlsm]Consiglio_Week'!$L:$L")),"")</f>
        <v/>
      </c>
      <c r="AJ19" t="str" cm="1">
        <f t="array" aca="1" ref="AJ19" ca="1">+IFERROR(_xlfn.XLOOKUP($B19,INDIRECT("'[storico profut.xlsm]Consiglio_Week'!$B:$B"),INDIRECT("'[storico profut.xlsm]Consiglio_Week'!$M:$M")),"")</f>
        <v/>
      </c>
      <c r="AK19" t="str" cm="1">
        <f t="array" aca="1" ref="AK19" ca="1">+IFERROR(_xlfn.XLOOKUP($B19,INDIRECT("'[storico profut.xlsm]Consiglio_Week'!$B:$B"),INDIRECT("'[storico profut.xlsm]Consiglio_Week'!$P:$P")),"")</f>
        <v/>
      </c>
      <c r="AL19" s="21" t="str" cm="1">
        <f t="array" aca="1" ref="AL19" ca="1">IFERROR(
  _xlfn.XLOOKUP(
    $B19,
    INDIRECT("'[storico profut.xlsm]Consiglio_Week'!B:B"),
    OFFSET( INDIRECT("'[storico profut.xlsm]Consiglio_Week'!$R:$R"), 0, COLUMNS($A:A)-1 )
  ),
  ""
)</f>
        <v/>
      </c>
      <c r="AM19" s="21" t="str" cm="1">
        <f t="array" aca="1" ref="AM19" ca="1">IFERROR(
  _xlfn.XLOOKUP(
    $B19,
    INDIRECT("'[storico profut.xlsm]Consiglio_Week'!B:B"),
    OFFSET( INDIRECT("'[storico profut.xlsm]Consiglio_Week'!$R:$R"), 0, COLUMNS($A:B)-1 )
  ),
  ""
)</f>
        <v/>
      </c>
      <c r="AN19" s="21" t="str" cm="1">
        <f t="array" aca="1" ref="AN19" ca="1">IFERROR(
  _xlfn.XLOOKUP(
    $B19,
    INDIRECT("'[storico profut.xlsm]Consiglio_Week'!B:B"),
    OFFSET( INDIRECT("'[storico profut.xlsm]Consiglio_Week'!$R:$R"), 0, COLUMNS($A:C)-1 )
  ),
  ""
)</f>
        <v/>
      </c>
      <c r="AO19" s="21" t="str" cm="1">
        <f t="array" aca="1" ref="AO19" ca="1">IFERROR(
  _xlfn.XLOOKUP(
    $B19,
    INDIRECT("'[storico profut.xlsm]Consiglio_Week'!B:B"),
    OFFSET( INDIRECT("'[storico profut.xlsm]Consiglio_Week'!$R:$R"), 0, COLUMNS($A:D)-1 )
  ),
  ""
)</f>
        <v/>
      </c>
      <c r="AP19" s="21" t="str" cm="1">
        <f t="array" aca="1" ref="AP19" ca="1">IFERROR(
  _xlfn.XLOOKUP(
    $B19,
    INDIRECT("'[storico profut.xlsm]Consiglio_Week'!B:B"),
    OFFSET( INDIRECT("'[storico profut.xlsm]Consiglio_Week'!$R:$R"), 0, COLUMNS($A:E)-1 )
  ),
  ""
)</f>
        <v/>
      </c>
      <c r="AQ19" s="22" t="str" cm="1">
        <f t="array" aca="1" ref="AQ19" ca="1">IFERROR(
  _xlfn.XLOOKUP(
    $B19,
    INDIRECT("'[storico profut.xlsm]Consiglio_Week'!B:B"),
    OFFSET( INDIRECT("'[storico profut.xlsm]Consiglio_Week'!$R:$R"), 0, COLUMNS($A:F)-1 )
  ),
  ""
)</f>
        <v/>
      </c>
      <c r="AR19" s="21" t="str" cm="1">
        <f t="array" aca="1" ref="AR19" ca="1">IFERROR(
  _xlfn.XLOOKUP(
    $B19,
    INDIRECT("'[storico profut.xlsm]Consiglio_Week'!B:B"),
    OFFSET( INDIRECT("'[storico profut.xlsm]Consiglio_Week'!$R:$R"), 0, COLUMNS($A:G)-1 )
  ),
  ""
)</f>
        <v/>
      </c>
      <c r="AS19" s="21" t="str" cm="1">
        <f t="array" aca="1" ref="AS19" ca="1">IFERROR(
  _xlfn.XLOOKUP(
    $B19,
    INDIRECT("'[storico profut.xlsm]Consiglio_Week'!B:B"),
    OFFSET( INDIRECT("'[storico profut.xlsm]Consiglio_Week'!$R:$R"), 0, COLUMNS($A:H)-1 )
  ),
  ""
)</f>
        <v/>
      </c>
      <c r="AT19" s="21" t="str" cm="1">
        <f t="array" aca="1" ref="AT19" ca="1">IFERROR(
  _xlfn.XLOOKUP(
    $B19,
    INDIRECT("'[storico profut.xlsm]Consiglio_Week'!B:B"),
    OFFSET( INDIRECT("'[storico profut.xlsm]Consiglio_Week'!$R:$R"), 0, COLUMNS($A:I)-1 )
  ),
  ""
)</f>
        <v/>
      </c>
      <c r="AU19" s="22" t="str" cm="1">
        <f t="array" aca="1" ref="AU19" ca="1">IFERROR(
  _xlfn.XLOOKUP(
    $B19,
    INDIRECT("'[storico profut.xlsm]Consiglio_Week'!B:B"),
    OFFSET( INDIRECT("'[storico profut.xlsm]Consiglio_Week'!$R:$R"), 0, COLUMNS($A:J)-1 )
  ),
  ""
)</f>
        <v/>
      </c>
      <c r="AV19" s="22" t="str" cm="1">
        <f t="array" aca="1" ref="AV19" ca="1">IFERROR(
  _xlfn.XLOOKUP(
    $B19,
    INDIRECT("'[storico profut.xlsm]Consiglio_Week'!B:B"),
    OFFSET( INDIRECT("'[storico profut.xlsm]Consiglio_Week'!$R:$R"), 0, COLUMNS($A:K)-1 )
  ),
  ""
)</f>
        <v/>
      </c>
      <c r="AW19" s="22" t="str" cm="1">
        <f t="array" aca="1" ref="AW19" ca="1">IFERROR(
  _xlfn.XLOOKUP(
    $B19,
    INDIRECT("'[storico profut.xlsm]Consiglio_Week'!B:B"),
    OFFSET( INDIRECT("'[storico profut.xlsm]Consiglio_Week'!$R:$R"), 0, COLUMNS($A:L)-1 )
  ),
  ""
)</f>
        <v/>
      </c>
      <c r="AX19" s="26" t="str" cm="1">
        <f t="array" aca="1" ref="AX19" ca="1">IFERROR(
  _xlfn.XLOOKUP(
    $B19,
    INDIRECT("'[storico profut.xlsm]Consiglio_Week'!B:B"),
    OFFSET( INDIRECT("'[storico profut.xlsm]Consiglio_Week'!$R:$R"), 0, COLUMNS($A:M)-1 )
  ),
  ""
)</f>
        <v/>
      </c>
      <c r="AY19" s="22">
        <v>0</v>
      </c>
    </row>
    <row r="20" spans="1:51">
      <c r="A20" t="s">
        <v>524</v>
      </c>
      <c r="B20" t="s">
        <v>413</v>
      </c>
      <c r="C20">
        <v>20</v>
      </c>
      <c r="D20">
        <v>2</v>
      </c>
      <c r="E20" s="6">
        <v>0.625</v>
      </c>
      <c r="F20" s="6">
        <v>0.875</v>
      </c>
      <c r="G20" s="7"/>
      <c r="H20" s="5" t="s">
        <v>640</v>
      </c>
      <c r="Q20" t="s">
        <v>468</v>
      </c>
      <c r="R20">
        <v>1</v>
      </c>
      <c r="S20" t="s">
        <v>573</v>
      </c>
      <c r="AB20" t="s">
        <v>640</v>
      </c>
      <c r="AC20" t="s">
        <v>640</v>
      </c>
      <c r="AH20" t="str" cm="1">
        <f t="array" aca="1" ref="AH20" ca="1">+IFERROR(_xlfn.XLOOKUP($B20,INDIRECT("'[storico profut.xlsm]Consiglio_Week'!$B:$B"),INDIRECT("'[storico profut.xlsm]Consiglio_Week'!$I:$I")),"")</f>
        <v/>
      </c>
      <c r="AI20" t="str" cm="1">
        <f t="array" aca="1" ref="AI20" ca="1">+IFERROR(_xlfn.XLOOKUP($B20,INDIRECT("'[storico profut.xlsm]Consiglio_Week'!$B:$B"),INDIRECT("'[storico profut.xlsm]Consiglio_Week'!$L:$L")),"")</f>
        <v/>
      </c>
      <c r="AJ20" t="str" cm="1">
        <f t="array" aca="1" ref="AJ20" ca="1">+IFERROR(_xlfn.XLOOKUP($B20,INDIRECT("'[storico profut.xlsm]Consiglio_Week'!$B:$B"),INDIRECT("'[storico profut.xlsm]Consiglio_Week'!$M:$M")),"")</f>
        <v/>
      </c>
      <c r="AK20" t="str" cm="1">
        <f t="array" aca="1" ref="AK20" ca="1">+IFERROR(_xlfn.XLOOKUP($B20,INDIRECT("'[storico profut.xlsm]Consiglio_Week'!$B:$B"),INDIRECT("'[storico profut.xlsm]Consiglio_Week'!$P:$P")),"")</f>
        <v/>
      </c>
      <c r="AL20" s="21" t="str" cm="1">
        <f t="array" aca="1" ref="AL20" ca="1">IFERROR(
  _xlfn.XLOOKUP(
    $B20,
    INDIRECT("'[storico profut.xlsm]Consiglio_Week'!B:B"),
    OFFSET( INDIRECT("'[storico profut.xlsm]Consiglio_Week'!$R:$R"), 0, COLUMNS($A:A)-1 )
  ),
  ""
)</f>
        <v/>
      </c>
      <c r="AM20" s="21" t="str" cm="1">
        <f t="array" aca="1" ref="AM20" ca="1">IFERROR(
  _xlfn.XLOOKUP(
    $B20,
    INDIRECT("'[storico profut.xlsm]Consiglio_Week'!B:B"),
    OFFSET( INDIRECT("'[storico profut.xlsm]Consiglio_Week'!$R:$R"), 0, COLUMNS($A:B)-1 )
  ),
  ""
)</f>
        <v/>
      </c>
      <c r="AN20" s="21" t="str" cm="1">
        <f t="array" aca="1" ref="AN20" ca="1">IFERROR(
  _xlfn.XLOOKUP(
    $B20,
    INDIRECT("'[storico profut.xlsm]Consiglio_Week'!B:B"),
    OFFSET( INDIRECT("'[storico profut.xlsm]Consiglio_Week'!$R:$R"), 0, COLUMNS($A:C)-1 )
  ),
  ""
)</f>
        <v/>
      </c>
      <c r="AO20" s="21" t="str" cm="1">
        <f t="array" aca="1" ref="AO20" ca="1">IFERROR(
  _xlfn.XLOOKUP(
    $B20,
    INDIRECT("'[storico profut.xlsm]Consiglio_Week'!B:B"),
    OFFSET( INDIRECT("'[storico profut.xlsm]Consiglio_Week'!$R:$R"), 0, COLUMNS($A:D)-1 )
  ),
  ""
)</f>
        <v/>
      </c>
      <c r="AP20" s="21" t="str" cm="1">
        <f t="array" aca="1" ref="AP20" ca="1">IFERROR(
  _xlfn.XLOOKUP(
    $B20,
    INDIRECT("'[storico profut.xlsm]Consiglio_Week'!B:B"),
    OFFSET( INDIRECT("'[storico profut.xlsm]Consiglio_Week'!$R:$R"), 0, COLUMNS($A:E)-1 )
  ),
  ""
)</f>
        <v/>
      </c>
      <c r="AQ20" s="22" t="str" cm="1">
        <f t="array" aca="1" ref="AQ20" ca="1">IFERROR(
  _xlfn.XLOOKUP(
    $B20,
    INDIRECT("'[storico profut.xlsm]Consiglio_Week'!B:B"),
    OFFSET( INDIRECT("'[storico profut.xlsm]Consiglio_Week'!$R:$R"), 0, COLUMNS($A:F)-1 )
  ),
  ""
)</f>
        <v/>
      </c>
      <c r="AR20" s="21" t="str" cm="1">
        <f t="array" aca="1" ref="AR20" ca="1">IFERROR(
  _xlfn.XLOOKUP(
    $B20,
    INDIRECT("'[storico profut.xlsm]Consiglio_Week'!B:B"),
    OFFSET( INDIRECT("'[storico profut.xlsm]Consiglio_Week'!$R:$R"), 0, COLUMNS($A:G)-1 )
  ),
  ""
)</f>
        <v/>
      </c>
      <c r="AS20" s="21" t="str" cm="1">
        <f t="array" aca="1" ref="AS20" ca="1">IFERROR(
  _xlfn.XLOOKUP(
    $B20,
    INDIRECT("'[storico profut.xlsm]Consiglio_Week'!B:B"),
    OFFSET( INDIRECT("'[storico profut.xlsm]Consiglio_Week'!$R:$R"), 0, COLUMNS($A:H)-1 )
  ),
  ""
)</f>
        <v/>
      </c>
      <c r="AT20" s="21" t="str" cm="1">
        <f t="array" aca="1" ref="AT20" ca="1">IFERROR(
  _xlfn.XLOOKUP(
    $B20,
    INDIRECT("'[storico profut.xlsm]Consiglio_Week'!B:B"),
    OFFSET( INDIRECT("'[storico profut.xlsm]Consiglio_Week'!$R:$R"), 0, COLUMNS($A:I)-1 )
  ),
  ""
)</f>
        <v/>
      </c>
      <c r="AU20" s="22" t="str" cm="1">
        <f t="array" aca="1" ref="AU20" ca="1">IFERROR(
  _xlfn.XLOOKUP(
    $B20,
    INDIRECT("'[storico profut.xlsm]Consiglio_Week'!B:B"),
    OFFSET( INDIRECT("'[storico profut.xlsm]Consiglio_Week'!$R:$R"), 0, COLUMNS($A:J)-1 )
  ),
  ""
)</f>
        <v/>
      </c>
      <c r="AV20" s="22" t="str" cm="1">
        <f t="array" aca="1" ref="AV20" ca="1">IFERROR(
  _xlfn.XLOOKUP(
    $B20,
    INDIRECT("'[storico profut.xlsm]Consiglio_Week'!B:B"),
    OFFSET( INDIRECT("'[storico profut.xlsm]Consiglio_Week'!$R:$R"), 0, COLUMNS($A:K)-1 )
  ),
  ""
)</f>
        <v/>
      </c>
      <c r="AW20" s="22" t="str" cm="1">
        <f t="array" aca="1" ref="AW20" ca="1">IFERROR(
  _xlfn.XLOOKUP(
    $B20,
    INDIRECT("'[storico profut.xlsm]Consiglio_Week'!B:B"),
    OFFSET( INDIRECT("'[storico profut.xlsm]Consiglio_Week'!$R:$R"), 0, COLUMNS($A:L)-1 )
  ),
  ""
)</f>
        <v/>
      </c>
      <c r="AX20" s="26" t="str" cm="1">
        <f t="array" aca="1" ref="AX20" ca="1">IFERROR(
  _xlfn.XLOOKUP(
    $B20,
    INDIRECT("'[storico profut.xlsm]Consiglio_Week'!B:B"),
    OFFSET( INDIRECT("'[storico profut.xlsm]Consiglio_Week'!$R:$R"), 0, COLUMNS($A:M)-1 )
  ),
  ""
)</f>
        <v/>
      </c>
      <c r="AY20" s="22">
        <v>0</v>
      </c>
    </row>
    <row r="21" spans="1:51">
      <c r="A21" t="s">
        <v>525</v>
      </c>
      <c r="B21" t="s">
        <v>414</v>
      </c>
      <c r="C21">
        <v>20</v>
      </c>
      <c r="D21">
        <v>2</v>
      </c>
      <c r="E21" s="6">
        <v>0.625</v>
      </c>
      <c r="F21" s="6">
        <v>0.875</v>
      </c>
      <c r="G21" s="5" t="s">
        <v>640</v>
      </c>
      <c r="H21" s="5" t="s">
        <v>640</v>
      </c>
      <c r="Q21" t="s">
        <v>468</v>
      </c>
      <c r="R21">
        <v>1</v>
      </c>
      <c r="S21" t="s">
        <v>573</v>
      </c>
      <c r="AH21" t="str" cm="1">
        <f t="array" aca="1" ref="AH21" ca="1">+IFERROR(_xlfn.XLOOKUP($B21,INDIRECT("'[storico profut.xlsm]Consiglio_Week'!$B:$B"),INDIRECT("'[storico profut.xlsm]Consiglio_Week'!$I:$I")),"")</f>
        <v/>
      </c>
      <c r="AI21" t="str" cm="1">
        <f t="array" aca="1" ref="AI21" ca="1">+IFERROR(_xlfn.XLOOKUP($B21,INDIRECT("'[storico profut.xlsm]Consiglio_Week'!$B:$B"),INDIRECT("'[storico profut.xlsm]Consiglio_Week'!$L:$L")),"")</f>
        <v/>
      </c>
      <c r="AJ21" t="str" cm="1">
        <f t="array" aca="1" ref="AJ21" ca="1">+IFERROR(_xlfn.XLOOKUP($B21,INDIRECT("'[storico profut.xlsm]Consiglio_Week'!$B:$B"),INDIRECT("'[storico profut.xlsm]Consiglio_Week'!$M:$M")),"")</f>
        <v/>
      </c>
      <c r="AK21" t="str" cm="1">
        <f t="array" aca="1" ref="AK21" ca="1">+IFERROR(_xlfn.XLOOKUP($B21,INDIRECT("'[storico profut.xlsm]Consiglio_Week'!$B:$B"),INDIRECT("'[storico profut.xlsm]Consiglio_Week'!$P:$P")),"")</f>
        <v/>
      </c>
      <c r="AL21" s="21" t="str" cm="1">
        <f t="array" aca="1" ref="AL21" ca="1">IFERROR(
  _xlfn.XLOOKUP(
    $B21,
    INDIRECT("'[storico profut.xlsm]Consiglio_Week'!B:B"),
    OFFSET( INDIRECT("'[storico profut.xlsm]Consiglio_Week'!$R:$R"), 0, COLUMNS($A:A)-1 )
  ),
  ""
)</f>
        <v/>
      </c>
      <c r="AM21" s="21" t="str" cm="1">
        <f t="array" aca="1" ref="AM21" ca="1">IFERROR(
  _xlfn.XLOOKUP(
    $B21,
    INDIRECT("'[storico profut.xlsm]Consiglio_Week'!B:B"),
    OFFSET( INDIRECT("'[storico profut.xlsm]Consiglio_Week'!$R:$R"), 0, COLUMNS($A:B)-1 )
  ),
  ""
)</f>
        <v/>
      </c>
      <c r="AN21" s="21" t="str" cm="1">
        <f t="array" aca="1" ref="AN21" ca="1">IFERROR(
  _xlfn.XLOOKUP(
    $B21,
    INDIRECT("'[storico profut.xlsm]Consiglio_Week'!B:B"),
    OFFSET( INDIRECT("'[storico profut.xlsm]Consiglio_Week'!$R:$R"), 0, COLUMNS($A:C)-1 )
  ),
  ""
)</f>
        <v/>
      </c>
      <c r="AO21" s="21" t="str" cm="1">
        <f t="array" aca="1" ref="AO21" ca="1">IFERROR(
  _xlfn.XLOOKUP(
    $B21,
    INDIRECT("'[storico profut.xlsm]Consiglio_Week'!B:B"),
    OFFSET( INDIRECT("'[storico profut.xlsm]Consiglio_Week'!$R:$R"), 0, COLUMNS($A:D)-1 )
  ),
  ""
)</f>
        <v/>
      </c>
      <c r="AP21" s="21" t="str" cm="1">
        <f t="array" aca="1" ref="AP21" ca="1">IFERROR(
  _xlfn.XLOOKUP(
    $B21,
    INDIRECT("'[storico profut.xlsm]Consiglio_Week'!B:B"),
    OFFSET( INDIRECT("'[storico profut.xlsm]Consiglio_Week'!$R:$R"), 0, COLUMNS($A:E)-1 )
  ),
  ""
)</f>
        <v/>
      </c>
      <c r="AQ21" s="22" t="str" cm="1">
        <f t="array" aca="1" ref="AQ21" ca="1">IFERROR(
  _xlfn.XLOOKUP(
    $B21,
    INDIRECT("'[storico profut.xlsm]Consiglio_Week'!B:B"),
    OFFSET( INDIRECT("'[storico profut.xlsm]Consiglio_Week'!$R:$R"), 0, COLUMNS($A:F)-1 )
  ),
  ""
)</f>
        <v/>
      </c>
      <c r="AR21" s="21" t="str" cm="1">
        <f t="array" aca="1" ref="AR21" ca="1">IFERROR(
  _xlfn.XLOOKUP(
    $B21,
    INDIRECT("'[storico profut.xlsm]Consiglio_Week'!B:B"),
    OFFSET( INDIRECT("'[storico profut.xlsm]Consiglio_Week'!$R:$R"), 0, COLUMNS($A:G)-1 )
  ),
  ""
)</f>
        <v/>
      </c>
      <c r="AS21" s="21" t="str" cm="1">
        <f t="array" aca="1" ref="AS21" ca="1">IFERROR(
  _xlfn.XLOOKUP(
    $B21,
    INDIRECT("'[storico profut.xlsm]Consiglio_Week'!B:B"),
    OFFSET( INDIRECT("'[storico profut.xlsm]Consiglio_Week'!$R:$R"), 0, COLUMNS($A:H)-1 )
  ),
  ""
)</f>
        <v/>
      </c>
      <c r="AT21" s="21" t="str" cm="1">
        <f t="array" aca="1" ref="AT21" ca="1">IFERROR(
  _xlfn.XLOOKUP(
    $B21,
    INDIRECT("'[storico profut.xlsm]Consiglio_Week'!B:B"),
    OFFSET( INDIRECT("'[storico profut.xlsm]Consiglio_Week'!$R:$R"), 0, COLUMNS($A:I)-1 )
  ),
  ""
)</f>
        <v/>
      </c>
      <c r="AU21" s="22" t="str" cm="1">
        <f t="array" aca="1" ref="AU21" ca="1">IFERROR(
  _xlfn.XLOOKUP(
    $B21,
    INDIRECT("'[storico profut.xlsm]Consiglio_Week'!B:B"),
    OFFSET( INDIRECT("'[storico profut.xlsm]Consiglio_Week'!$R:$R"), 0, COLUMNS($A:J)-1 )
  ),
  ""
)</f>
        <v/>
      </c>
      <c r="AV21" s="22" t="str" cm="1">
        <f t="array" aca="1" ref="AV21" ca="1">IFERROR(
  _xlfn.XLOOKUP(
    $B21,
    INDIRECT("'[storico profut.xlsm]Consiglio_Week'!B:B"),
    OFFSET( INDIRECT("'[storico profut.xlsm]Consiglio_Week'!$R:$R"), 0, COLUMNS($A:K)-1 )
  ),
  ""
)</f>
        <v/>
      </c>
      <c r="AW21" s="22" t="str" cm="1">
        <f t="array" aca="1" ref="AW21" ca="1">IFERROR(
  _xlfn.XLOOKUP(
    $B21,
    INDIRECT("'[storico profut.xlsm]Consiglio_Week'!B:B"),
    OFFSET( INDIRECT("'[storico profut.xlsm]Consiglio_Week'!$R:$R"), 0, COLUMNS($A:L)-1 )
  ),
  ""
)</f>
        <v/>
      </c>
      <c r="AX21" s="26" t="str" cm="1">
        <f t="array" aca="1" ref="AX21" ca="1">IFERROR(
  _xlfn.XLOOKUP(
    $B21,
    INDIRECT("'[storico profut.xlsm]Consiglio_Week'!B:B"),
    OFFSET( INDIRECT("'[storico profut.xlsm]Consiglio_Week'!$R:$R"), 0, COLUMNS($A:M)-1 )
  ),
  ""
)</f>
        <v/>
      </c>
      <c r="AY21" s="22">
        <v>0</v>
      </c>
    </row>
    <row r="22" spans="1:51">
      <c r="A22" t="s">
        <v>526</v>
      </c>
      <c r="B22" t="s">
        <v>415</v>
      </c>
      <c r="C22">
        <v>20</v>
      </c>
      <c r="D22">
        <v>2</v>
      </c>
      <c r="E22" s="16">
        <v>0.375</v>
      </c>
      <c r="F22" s="16">
        <v>0.54166666666666663</v>
      </c>
      <c r="G22" s="15" t="s">
        <v>640</v>
      </c>
      <c r="H22" s="15" t="s">
        <v>640</v>
      </c>
      <c r="Q22" t="s">
        <v>468</v>
      </c>
      <c r="R22">
        <v>0</v>
      </c>
      <c r="S22" t="s">
        <v>573</v>
      </c>
      <c r="AH22" t="str" cm="1">
        <f t="array" aca="1" ref="AH22" ca="1">+IFERROR(_xlfn.XLOOKUP($B22,INDIRECT("'[storico profut.xlsm]Consiglio_Week'!$B:$B"),INDIRECT("'[storico profut.xlsm]Consiglio_Week'!$I:$I")),"")</f>
        <v/>
      </c>
      <c r="AI22" t="str" cm="1">
        <f t="array" aca="1" ref="AI22" ca="1">+IFERROR(_xlfn.XLOOKUP($B22,INDIRECT("'[storico profut.xlsm]Consiglio_Week'!$B:$B"),INDIRECT("'[storico profut.xlsm]Consiglio_Week'!$L:$L")),"")</f>
        <v/>
      </c>
      <c r="AJ22" t="str" cm="1">
        <f t="array" aca="1" ref="AJ22" ca="1">+IFERROR(_xlfn.XLOOKUP($B22,INDIRECT("'[storico profut.xlsm]Consiglio_Week'!$B:$B"),INDIRECT("'[storico profut.xlsm]Consiglio_Week'!$M:$M")),"")</f>
        <v/>
      </c>
      <c r="AK22" t="str" cm="1">
        <f t="array" aca="1" ref="AK22" ca="1">+IFERROR(_xlfn.XLOOKUP($B22,INDIRECT("'[storico profut.xlsm]Consiglio_Week'!$B:$B"),INDIRECT("'[storico profut.xlsm]Consiglio_Week'!$P:$P")),"")</f>
        <v/>
      </c>
      <c r="AL22" s="21" t="str" cm="1">
        <f t="array" aca="1" ref="AL22" ca="1">IFERROR(
  _xlfn.XLOOKUP(
    $B22,
    INDIRECT("'[storico profut.xlsm]Consiglio_Week'!B:B"),
    OFFSET( INDIRECT("'[storico profut.xlsm]Consiglio_Week'!$R:$R"), 0, COLUMNS($A:A)-1 )
  ),
  ""
)</f>
        <v/>
      </c>
      <c r="AM22" s="21" t="str" cm="1">
        <f t="array" aca="1" ref="AM22" ca="1">IFERROR(
  _xlfn.XLOOKUP(
    $B22,
    INDIRECT("'[storico profut.xlsm]Consiglio_Week'!B:B"),
    OFFSET( INDIRECT("'[storico profut.xlsm]Consiglio_Week'!$R:$R"), 0, COLUMNS($A:B)-1 )
  ),
  ""
)</f>
        <v/>
      </c>
      <c r="AN22" s="21" t="str" cm="1">
        <f t="array" aca="1" ref="AN22" ca="1">IFERROR(
  _xlfn.XLOOKUP(
    $B22,
    INDIRECT("'[storico profut.xlsm]Consiglio_Week'!B:B"),
    OFFSET( INDIRECT("'[storico profut.xlsm]Consiglio_Week'!$R:$R"), 0, COLUMNS($A:C)-1 )
  ),
  ""
)</f>
        <v/>
      </c>
      <c r="AO22" s="21" t="str" cm="1">
        <f t="array" aca="1" ref="AO22" ca="1">IFERROR(
  _xlfn.XLOOKUP(
    $B22,
    INDIRECT("'[storico profut.xlsm]Consiglio_Week'!B:B"),
    OFFSET( INDIRECT("'[storico profut.xlsm]Consiglio_Week'!$R:$R"), 0, COLUMNS($A:D)-1 )
  ),
  ""
)</f>
        <v/>
      </c>
      <c r="AP22" s="21" t="str" cm="1">
        <f t="array" aca="1" ref="AP22" ca="1">IFERROR(
  _xlfn.XLOOKUP(
    $B22,
    INDIRECT("'[storico profut.xlsm]Consiglio_Week'!B:B"),
    OFFSET( INDIRECT("'[storico profut.xlsm]Consiglio_Week'!$R:$R"), 0, COLUMNS($A:E)-1 )
  ),
  ""
)</f>
        <v/>
      </c>
      <c r="AQ22" s="22" t="str" cm="1">
        <f t="array" aca="1" ref="AQ22" ca="1">IFERROR(
  _xlfn.XLOOKUP(
    $B22,
    INDIRECT("'[storico profut.xlsm]Consiglio_Week'!B:B"),
    OFFSET( INDIRECT("'[storico profut.xlsm]Consiglio_Week'!$R:$R"), 0, COLUMNS($A:F)-1 )
  ),
  ""
)</f>
        <v/>
      </c>
      <c r="AR22" s="21" t="str" cm="1">
        <f t="array" aca="1" ref="AR22" ca="1">IFERROR(
  _xlfn.XLOOKUP(
    $B22,
    INDIRECT("'[storico profut.xlsm]Consiglio_Week'!B:B"),
    OFFSET( INDIRECT("'[storico profut.xlsm]Consiglio_Week'!$R:$R"), 0, COLUMNS($A:G)-1 )
  ),
  ""
)</f>
        <v/>
      </c>
      <c r="AS22" s="21" t="str" cm="1">
        <f t="array" aca="1" ref="AS22" ca="1">IFERROR(
  _xlfn.XLOOKUP(
    $B22,
    INDIRECT("'[storico profut.xlsm]Consiglio_Week'!B:B"),
    OFFSET( INDIRECT("'[storico profut.xlsm]Consiglio_Week'!$R:$R"), 0, COLUMNS($A:H)-1 )
  ),
  ""
)</f>
        <v/>
      </c>
      <c r="AT22" s="21" t="str" cm="1">
        <f t="array" aca="1" ref="AT22" ca="1">IFERROR(
  _xlfn.XLOOKUP(
    $B22,
    INDIRECT("'[storico profut.xlsm]Consiglio_Week'!B:B"),
    OFFSET( INDIRECT("'[storico profut.xlsm]Consiglio_Week'!$R:$R"), 0, COLUMNS($A:I)-1 )
  ),
  ""
)</f>
        <v/>
      </c>
      <c r="AU22" s="22" t="str" cm="1">
        <f t="array" aca="1" ref="AU22" ca="1">IFERROR(
  _xlfn.XLOOKUP(
    $B22,
    INDIRECT("'[storico profut.xlsm]Consiglio_Week'!B:B"),
    OFFSET( INDIRECT("'[storico profut.xlsm]Consiglio_Week'!$R:$R"), 0, COLUMNS($A:J)-1 )
  ),
  ""
)</f>
        <v/>
      </c>
      <c r="AV22" s="22" t="str" cm="1">
        <f t="array" aca="1" ref="AV22" ca="1">IFERROR(
  _xlfn.XLOOKUP(
    $B22,
    INDIRECT("'[storico profut.xlsm]Consiglio_Week'!B:B"),
    OFFSET( INDIRECT("'[storico profut.xlsm]Consiglio_Week'!$R:$R"), 0, COLUMNS($A:K)-1 )
  ),
  ""
)</f>
        <v/>
      </c>
      <c r="AW22" s="22" t="str" cm="1">
        <f t="array" aca="1" ref="AW22" ca="1">IFERROR(
  _xlfn.XLOOKUP(
    $B22,
    INDIRECT("'[storico profut.xlsm]Consiglio_Week'!B:B"),
    OFFSET( INDIRECT("'[storico profut.xlsm]Consiglio_Week'!$R:$R"), 0, COLUMNS($A:L)-1 )
  ),
  ""
)</f>
        <v/>
      </c>
      <c r="AX22" s="26" t="str" cm="1">
        <f t="array" aca="1" ref="AX22" ca="1">IFERROR(
  _xlfn.XLOOKUP(
    $B22,
    INDIRECT("'[storico profut.xlsm]Consiglio_Week'!B:B"),
    OFFSET( INDIRECT("'[storico profut.xlsm]Consiglio_Week'!$R:$R"), 0, COLUMNS($A:M)-1 )
  ),
  ""
)</f>
        <v/>
      </c>
      <c r="AY22" s="22" t="s">
        <v>627</v>
      </c>
    </row>
    <row r="23" spans="1:51">
      <c r="A23" t="s">
        <v>527</v>
      </c>
      <c r="B23" t="s">
        <v>416</v>
      </c>
      <c r="C23">
        <v>20</v>
      </c>
      <c r="D23">
        <v>2</v>
      </c>
      <c r="E23" s="6">
        <v>0.625</v>
      </c>
      <c r="F23" s="6">
        <v>0.875</v>
      </c>
      <c r="G23" s="5"/>
      <c r="H23" s="5" t="s">
        <v>640</v>
      </c>
      <c r="Q23" t="s">
        <v>468</v>
      </c>
      <c r="R23">
        <v>1</v>
      </c>
      <c r="S23" t="s">
        <v>573</v>
      </c>
      <c r="AB23" t="s">
        <v>640</v>
      </c>
      <c r="AC23" t="s">
        <v>640</v>
      </c>
      <c r="AH23" t="str" cm="1">
        <f t="array" aca="1" ref="AH23" ca="1">+IFERROR(_xlfn.XLOOKUP($B23,INDIRECT("'[storico profut.xlsm]Consiglio_Week'!$B:$B"),INDIRECT("'[storico profut.xlsm]Consiglio_Week'!$I:$I")),"")</f>
        <v/>
      </c>
      <c r="AI23" t="str" cm="1">
        <f t="array" aca="1" ref="AI23" ca="1">+IFERROR(_xlfn.XLOOKUP($B23,INDIRECT("'[storico profut.xlsm]Consiglio_Week'!$B:$B"),INDIRECT("'[storico profut.xlsm]Consiglio_Week'!$L:$L")),"")</f>
        <v/>
      </c>
      <c r="AJ23" t="str" cm="1">
        <f t="array" aca="1" ref="AJ23" ca="1">+IFERROR(_xlfn.XLOOKUP($B23,INDIRECT("'[storico profut.xlsm]Consiglio_Week'!$B:$B"),INDIRECT("'[storico profut.xlsm]Consiglio_Week'!$M:$M")),"")</f>
        <v/>
      </c>
      <c r="AK23" t="str" cm="1">
        <f t="array" aca="1" ref="AK23" ca="1">+IFERROR(_xlfn.XLOOKUP($B23,INDIRECT("'[storico profut.xlsm]Consiglio_Week'!$B:$B"),INDIRECT("'[storico profut.xlsm]Consiglio_Week'!$P:$P")),"")</f>
        <v/>
      </c>
      <c r="AL23" s="21" t="str" cm="1">
        <f t="array" aca="1" ref="AL23" ca="1">IFERROR(
  _xlfn.XLOOKUP(
    $B23,
    INDIRECT("'[storico profut.xlsm]Consiglio_Week'!B:B"),
    OFFSET( INDIRECT("'[storico profut.xlsm]Consiglio_Week'!$R:$R"), 0, COLUMNS($A:A)-1 )
  ),
  ""
)</f>
        <v/>
      </c>
      <c r="AM23" s="21" t="str" cm="1">
        <f t="array" aca="1" ref="AM23" ca="1">IFERROR(
  _xlfn.XLOOKUP(
    $B23,
    INDIRECT("'[storico profut.xlsm]Consiglio_Week'!B:B"),
    OFFSET( INDIRECT("'[storico profut.xlsm]Consiglio_Week'!$R:$R"), 0, COLUMNS($A:B)-1 )
  ),
  ""
)</f>
        <v/>
      </c>
      <c r="AN23" s="21" t="str" cm="1">
        <f t="array" aca="1" ref="AN23" ca="1">IFERROR(
  _xlfn.XLOOKUP(
    $B23,
    INDIRECT("'[storico profut.xlsm]Consiglio_Week'!B:B"),
    OFFSET( INDIRECT("'[storico profut.xlsm]Consiglio_Week'!$R:$R"), 0, COLUMNS($A:C)-1 )
  ),
  ""
)</f>
        <v/>
      </c>
      <c r="AO23" s="21" t="str" cm="1">
        <f t="array" aca="1" ref="AO23" ca="1">IFERROR(
  _xlfn.XLOOKUP(
    $B23,
    INDIRECT("'[storico profut.xlsm]Consiglio_Week'!B:B"),
    OFFSET( INDIRECT("'[storico profut.xlsm]Consiglio_Week'!$R:$R"), 0, COLUMNS($A:D)-1 )
  ),
  ""
)</f>
        <v/>
      </c>
      <c r="AP23" s="21" t="str" cm="1">
        <f t="array" aca="1" ref="AP23" ca="1">IFERROR(
  _xlfn.XLOOKUP(
    $B23,
    INDIRECT("'[storico profut.xlsm]Consiglio_Week'!B:B"),
    OFFSET( INDIRECT("'[storico profut.xlsm]Consiglio_Week'!$R:$R"), 0, COLUMNS($A:E)-1 )
  ),
  ""
)</f>
        <v/>
      </c>
      <c r="AQ23" s="22" t="str" cm="1">
        <f t="array" aca="1" ref="AQ23" ca="1">IFERROR(
  _xlfn.XLOOKUP(
    $B23,
    INDIRECT("'[storico profut.xlsm]Consiglio_Week'!B:B"),
    OFFSET( INDIRECT("'[storico profut.xlsm]Consiglio_Week'!$R:$R"), 0, COLUMNS($A:F)-1 )
  ),
  ""
)</f>
        <v/>
      </c>
      <c r="AR23" s="21" t="str" cm="1">
        <f t="array" aca="1" ref="AR23" ca="1">IFERROR(
  _xlfn.XLOOKUP(
    $B23,
    INDIRECT("'[storico profut.xlsm]Consiglio_Week'!B:B"),
    OFFSET( INDIRECT("'[storico profut.xlsm]Consiglio_Week'!$R:$R"), 0, COLUMNS($A:G)-1 )
  ),
  ""
)</f>
        <v/>
      </c>
      <c r="AS23" s="21" t="str" cm="1">
        <f t="array" aca="1" ref="AS23" ca="1">IFERROR(
  _xlfn.XLOOKUP(
    $B23,
    INDIRECT("'[storico profut.xlsm]Consiglio_Week'!B:B"),
    OFFSET( INDIRECT("'[storico profut.xlsm]Consiglio_Week'!$R:$R"), 0, COLUMNS($A:H)-1 )
  ),
  ""
)</f>
        <v/>
      </c>
      <c r="AT23" s="21" t="str" cm="1">
        <f t="array" aca="1" ref="AT23" ca="1">IFERROR(
  _xlfn.XLOOKUP(
    $B23,
    INDIRECT("'[storico profut.xlsm]Consiglio_Week'!B:B"),
    OFFSET( INDIRECT("'[storico profut.xlsm]Consiglio_Week'!$R:$R"), 0, COLUMNS($A:I)-1 )
  ),
  ""
)</f>
        <v/>
      </c>
      <c r="AU23" s="22" t="str" cm="1">
        <f t="array" aca="1" ref="AU23" ca="1">IFERROR(
  _xlfn.XLOOKUP(
    $B23,
    INDIRECT("'[storico profut.xlsm]Consiglio_Week'!B:B"),
    OFFSET( INDIRECT("'[storico profut.xlsm]Consiglio_Week'!$R:$R"), 0, COLUMNS($A:J)-1 )
  ),
  ""
)</f>
        <v/>
      </c>
      <c r="AV23" s="22" t="str" cm="1">
        <f t="array" aca="1" ref="AV23" ca="1">IFERROR(
  _xlfn.XLOOKUP(
    $B23,
    INDIRECT("'[storico profut.xlsm]Consiglio_Week'!B:B"),
    OFFSET( INDIRECT("'[storico profut.xlsm]Consiglio_Week'!$R:$R"), 0, COLUMNS($A:K)-1 )
  ),
  ""
)</f>
        <v/>
      </c>
      <c r="AW23" s="22" t="str" cm="1">
        <f t="array" aca="1" ref="AW23" ca="1">IFERROR(
  _xlfn.XLOOKUP(
    $B23,
    INDIRECT("'[storico profut.xlsm]Consiglio_Week'!B:B"),
    OFFSET( INDIRECT("'[storico profut.xlsm]Consiglio_Week'!$R:$R"), 0, COLUMNS($A:L)-1 )
  ),
  ""
)</f>
        <v/>
      </c>
      <c r="AX23" s="26" t="str" cm="1">
        <f t="array" aca="1" ref="AX23" ca="1">IFERROR(
  _xlfn.XLOOKUP(
    $B23,
    INDIRECT("'[storico profut.xlsm]Consiglio_Week'!B:B"),
    OFFSET( INDIRECT("'[storico profut.xlsm]Consiglio_Week'!$R:$R"), 0, COLUMNS($A:M)-1 )
  ),
  ""
)</f>
        <v/>
      </c>
      <c r="AY23" s="22">
        <v>0</v>
      </c>
    </row>
    <row r="24" spans="1:51">
      <c r="A24" t="s">
        <v>528</v>
      </c>
      <c r="B24" t="s">
        <v>417</v>
      </c>
      <c r="C24">
        <v>20</v>
      </c>
      <c r="D24">
        <v>2</v>
      </c>
      <c r="E24" s="6">
        <v>0.625</v>
      </c>
      <c r="F24" s="6">
        <v>0.875</v>
      </c>
      <c r="G24" s="5"/>
      <c r="H24" s="5"/>
      <c r="Q24" t="s">
        <v>468</v>
      </c>
      <c r="R24">
        <v>1</v>
      </c>
      <c r="S24" t="s">
        <v>573</v>
      </c>
      <c r="AH24" t="str" cm="1">
        <f t="array" aca="1" ref="AH24" ca="1">+IFERROR(_xlfn.XLOOKUP($B24,INDIRECT("'[storico profut.xlsm]Consiglio_Week'!$B:$B"),INDIRECT("'[storico profut.xlsm]Consiglio_Week'!$I:$I")),"")</f>
        <v/>
      </c>
      <c r="AI24" t="str" cm="1">
        <f t="array" aca="1" ref="AI24" ca="1">+IFERROR(_xlfn.XLOOKUP($B24,INDIRECT("'[storico profut.xlsm]Consiglio_Week'!$B:$B"),INDIRECT("'[storico profut.xlsm]Consiglio_Week'!$L:$L")),"")</f>
        <v/>
      </c>
      <c r="AJ24" t="str" cm="1">
        <f t="array" aca="1" ref="AJ24" ca="1">+IFERROR(_xlfn.XLOOKUP($B24,INDIRECT("'[storico profut.xlsm]Consiglio_Week'!$B:$B"),INDIRECT("'[storico profut.xlsm]Consiglio_Week'!$M:$M")),"")</f>
        <v/>
      </c>
      <c r="AK24" t="str" cm="1">
        <f t="array" aca="1" ref="AK24" ca="1">+IFERROR(_xlfn.XLOOKUP($B24,INDIRECT("'[storico profut.xlsm]Consiglio_Week'!$B:$B"),INDIRECT("'[storico profut.xlsm]Consiglio_Week'!$P:$P")),"")</f>
        <v/>
      </c>
      <c r="AL24" s="21" t="str" cm="1">
        <f t="array" aca="1" ref="AL24" ca="1">IFERROR(
  _xlfn.XLOOKUP(
    $B24,
    INDIRECT("'[storico profut.xlsm]Consiglio_Week'!B:B"),
    OFFSET( INDIRECT("'[storico profut.xlsm]Consiglio_Week'!$R:$R"), 0, COLUMNS($A:A)-1 )
  ),
  ""
)</f>
        <v/>
      </c>
      <c r="AM24" s="21" t="str" cm="1">
        <f t="array" aca="1" ref="AM24" ca="1">IFERROR(
  _xlfn.XLOOKUP(
    $B24,
    INDIRECT("'[storico profut.xlsm]Consiglio_Week'!B:B"),
    OFFSET( INDIRECT("'[storico profut.xlsm]Consiglio_Week'!$R:$R"), 0, COLUMNS($A:B)-1 )
  ),
  ""
)</f>
        <v/>
      </c>
      <c r="AN24" s="21" t="str" cm="1">
        <f t="array" aca="1" ref="AN24" ca="1">IFERROR(
  _xlfn.XLOOKUP(
    $B24,
    INDIRECT("'[storico profut.xlsm]Consiglio_Week'!B:B"),
    OFFSET( INDIRECT("'[storico profut.xlsm]Consiglio_Week'!$R:$R"), 0, COLUMNS($A:C)-1 )
  ),
  ""
)</f>
        <v/>
      </c>
      <c r="AO24" s="21" t="str" cm="1">
        <f t="array" aca="1" ref="AO24" ca="1">IFERROR(
  _xlfn.XLOOKUP(
    $B24,
    INDIRECT("'[storico profut.xlsm]Consiglio_Week'!B:B"),
    OFFSET( INDIRECT("'[storico profut.xlsm]Consiglio_Week'!$R:$R"), 0, COLUMNS($A:D)-1 )
  ),
  ""
)</f>
        <v/>
      </c>
      <c r="AP24" s="21" t="str" cm="1">
        <f t="array" aca="1" ref="AP24" ca="1">IFERROR(
  _xlfn.XLOOKUP(
    $B24,
    INDIRECT("'[storico profut.xlsm]Consiglio_Week'!B:B"),
    OFFSET( INDIRECT("'[storico profut.xlsm]Consiglio_Week'!$R:$R"), 0, COLUMNS($A:E)-1 )
  ),
  ""
)</f>
        <v/>
      </c>
      <c r="AQ24" s="22" t="str" cm="1">
        <f t="array" aca="1" ref="AQ24" ca="1">IFERROR(
  _xlfn.XLOOKUP(
    $B24,
    INDIRECT("'[storico profut.xlsm]Consiglio_Week'!B:B"),
    OFFSET( INDIRECT("'[storico profut.xlsm]Consiglio_Week'!$R:$R"), 0, COLUMNS($A:F)-1 )
  ),
  ""
)</f>
        <v/>
      </c>
      <c r="AR24" s="21" t="str" cm="1">
        <f t="array" aca="1" ref="AR24" ca="1">IFERROR(
  _xlfn.XLOOKUP(
    $B24,
    INDIRECT("'[storico profut.xlsm]Consiglio_Week'!B:B"),
    OFFSET( INDIRECT("'[storico profut.xlsm]Consiglio_Week'!$R:$R"), 0, COLUMNS($A:G)-1 )
  ),
  ""
)</f>
        <v/>
      </c>
      <c r="AS24" s="21" t="str" cm="1">
        <f t="array" aca="1" ref="AS24" ca="1">IFERROR(
  _xlfn.XLOOKUP(
    $B24,
    INDIRECT("'[storico profut.xlsm]Consiglio_Week'!B:B"),
    OFFSET( INDIRECT("'[storico profut.xlsm]Consiglio_Week'!$R:$R"), 0, COLUMNS($A:H)-1 )
  ),
  ""
)</f>
        <v/>
      </c>
      <c r="AT24" s="21" t="str" cm="1">
        <f t="array" aca="1" ref="AT24" ca="1">IFERROR(
  _xlfn.XLOOKUP(
    $B24,
    INDIRECT("'[storico profut.xlsm]Consiglio_Week'!B:B"),
    OFFSET( INDIRECT("'[storico profut.xlsm]Consiglio_Week'!$R:$R"), 0, COLUMNS($A:I)-1 )
  ),
  ""
)</f>
        <v/>
      </c>
      <c r="AU24" s="22" t="str" cm="1">
        <f t="array" aca="1" ref="AU24" ca="1">IFERROR(
  _xlfn.XLOOKUP(
    $B24,
    INDIRECT("'[storico profut.xlsm]Consiglio_Week'!B:B"),
    OFFSET( INDIRECT("'[storico profut.xlsm]Consiglio_Week'!$R:$R"), 0, COLUMNS($A:J)-1 )
  ),
  ""
)</f>
        <v/>
      </c>
      <c r="AV24" s="22" t="str" cm="1">
        <f t="array" aca="1" ref="AV24" ca="1">IFERROR(
  _xlfn.XLOOKUP(
    $B24,
    INDIRECT("'[storico profut.xlsm]Consiglio_Week'!B:B"),
    OFFSET( INDIRECT("'[storico profut.xlsm]Consiglio_Week'!$R:$R"), 0, COLUMNS($A:K)-1 )
  ),
  ""
)</f>
        <v/>
      </c>
      <c r="AW24" s="22" t="str" cm="1">
        <f t="array" aca="1" ref="AW24" ca="1">IFERROR(
  _xlfn.XLOOKUP(
    $B24,
    INDIRECT("'[storico profut.xlsm]Consiglio_Week'!B:B"),
    OFFSET( INDIRECT("'[storico profut.xlsm]Consiglio_Week'!$R:$R"), 0, COLUMNS($A:L)-1 )
  ),
  ""
)</f>
        <v/>
      </c>
      <c r="AX24" s="26" t="str" cm="1">
        <f t="array" aca="1" ref="AX24" ca="1">IFERROR(
  _xlfn.XLOOKUP(
    $B24,
    INDIRECT("'[storico profut.xlsm]Consiglio_Week'!B:B"),
    OFFSET( INDIRECT("'[storico profut.xlsm]Consiglio_Week'!$R:$R"), 0, COLUMNS($A:M)-1 )
  ),
  ""
)</f>
        <v/>
      </c>
      <c r="AY24" s="22">
        <v>0</v>
      </c>
    </row>
    <row r="25" spans="1:51">
      <c r="A25" t="s">
        <v>529</v>
      </c>
      <c r="B25" t="s">
        <v>418</v>
      </c>
      <c r="C25">
        <v>20</v>
      </c>
      <c r="D25">
        <v>2</v>
      </c>
      <c r="E25" s="6">
        <v>0.375</v>
      </c>
      <c r="F25" s="6">
        <v>0.625</v>
      </c>
      <c r="G25" s="5"/>
      <c r="H25" s="5"/>
      <c r="Q25" t="s">
        <v>468</v>
      </c>
      <c r="R25">
        <v>1</v>
      </c>
      <c r="S25" t="s">
        <v>573</v>
      </c>
      <c r="AH25" t="str" cm="1">
        <f t="array" aca="1" ref="AH25" ca="1">+IFERROR(_xlfn.XLOOKUP($B25,INDIRECT("'[storico profut.xlsm]Consiglio_Week'!$B:$B"),INDIRECT("'[storico profut.xlsm]Consiglio_Week'!$I:$I")),"")</f>
        <v/>
      </c>
      <c r="AI25" t="str" cm="1">
        <f t="array" aca="1" ref="AI25" ca="1">+IFERROR(_xlfn.XLOOKUP($B25,INDIRECT("'[storico profut.xlsm]Consiglio_Week'!$B:$B"),INDIRECT("'[storico profut.xlsm]Consiglio_Week'!$L:$L")),"")</f>
        <v/>
      </c>
      <c r="AJ25" t="str" cm="1">
        <f t="array" aca="1" ref="AJ25" ca="1">+IFERROR(_xlfn.XLOOKUP($B25,INDIRECT("'[storico profut.xlsm]Consiglio_Week'!$B:$B"),INDIRECT("'[storico profut.xlsm]Consiglio_Week'!$M:$M")),"")</f>
        <v/>
      </c>
      <c r="AK25" t="str" cm="1">
        <f t="array" aca="1" ref="AK25" ca="1">+IFERROR(_xlfn.XLOOKUP($B25,INDIRECT("'[storico profut.xlsm]Consiglio_Week'!$B:$B"),INDIRECT("'[storico profut.xlsm]Consiglio_Week'!$P:$P")),"")</f>
        <v/>
      </c>
      <c r="AL25" s="21" t="str" cm="1">
        <f t="array" aca="1" ref="AL25" ca="1">IFERROR(
  _xlfn.XLOOKUP(
    $B25,
    INDIRECT("'[storico profut.xlsm]Consiglio_Week'!B:B"),
    OFFSET( INDIRECT("'[storico profut.xlsm]Consiglio_Week'!$R:$R"), 0, COLUMNS($A:A)-1 )
  ),
  ""
)</f>
        <v/>
      </c>
      <c r="AM25" s="21" t="str" cm="1">
        <f t="array" aca="1" ref="AM25" ca="1">IFERROR(
  _xlfn.XLOOKUP(
    $B25,
    INDIRECT("'[storico profut.xlsm]Consiglio_Week'!B:B"),
    OFFSET( INDIRECT("'[storico profut.xlsm]Consiglio_Week'!$R:$R"), 0, COLUMNS($A:B)-1 )
  ),
  ""
)</f>
        <v/>
      </c>
      <c r="AN25" s="21" t="str" cm="1">
        <f t="array" aca="1" ref="AN25" ca="1">IFERROR(
  _xlfn.XLOOKUP(
    $B25,
    INDIRECT("'[storico profut.xlsm]Consiglio_Week'!B:B"),
    OFFSET( INDIRECT("'[storico profut.xlsm]Consiglio_Week'!$R:$R"), 0, COLUMNS($A:C)-1 )
  ),
  ""
)</f>
        <v/>
      </c>
      <c r="AO25" s="21" t="str" cm="1">
        <f t="array" aca="1" ref="AO25" ca="1">IFERROR(
  _xlfn.XLOOKUP(
    $B25,
    INDIRECT("'[storico profut.xlsm]Consiglio_Week'!B:B"),
    OFFSET( INDIRECT("'[storico profut.xlsm]Consiglio_Week'!$R:$R"), 0, COLUMNS($A:D)-1 )
  ),
  ""
)</f>
        <v/>
      </c>
      <c r="AP25" s="21" t="str" cm="1">
        <f t="array" aca="1" ref="AP25" ca="1">IFERROR(
  _xlfn.XLOOKUP(
    $B25,
    INDIRECT("'[storico profut.xlsm]Consiglio_Week'!B:B"),
    OFFSET( INDIRECT("'[storico profut.xlsm]Consiglio_Week'!$R:$R"), 0, COLUMNS($A:E)-1 )
  ),
  ""
)</f>
        <v/>
      </c>
      <c r="AQ25" s="22" t="str" cm="1">
        <f t="array" aca="1" ref="AQ25" ca="1">IFERROR(
  _xlfn.XLOOKUP(
    $B25,
    INDIRECT("'[storico profut.xlsm]Consiglio_Week'!B:B"),
    OFFSET( INDIRECT("'[storico profut.xlsm]Consiglio_Week'!$R:$R"), 0, COLUMNS($A:F)-1 )
  ),
  ""
)</f>
        <v/>
      </c>
      <c r="AR25" s="21" t="str" cm="1">
        <f t="array" aca="1" ref="AR25" ca="1">IFERROR(
  _xlfn.XLOOKUP(
    $B25,
    INDIRECT("'[storico profut.xlsm]Consiglio_Week'!B:B"),
    OFFSET( INDIRECT("'[storico profut.xlsm]Consiglio_Week'!$R:$R"), 0, COLUMNS($A:G)-1 )
  ),
  ""
)</f>
        <v/>
      </c>
      <c r="AS25" s="21" t="str" cm="1">
        <f t="array" aca="1" ref="AS25" ca="1">IFERROR(
  _xlfn.XLOOKUP(
    $B25,
    INDIRECT("'[storico profut.xlsm]Consiglio_Week'!B:B"),
    OFFSET( INDIRECT("'[storico profut.xlsm]Consiglio_Week'!$R:$R"), 0, COLUMNS($A:H)-1 )
  ),
  ""
)</f>
        <v/>
      </c>
      <c r="AT25" s="21" t="str" cm="1">
        <f t="array" aca="1" ref="AT25" ca="1">IFERROR(
  _xlfn.XLOOKUP(
    $B25,
    INDIRECT("'[storico profut.xlsm]Consiglio_Week'!B:B"),
    OFFSET( INDIRECT("'[storico profut.xlsm]Consiglio_Week'!$R:$R"), 0, COLUMNS($A:I)-1 )
  ),
  ""
)</f>
        <v/>
      </c>
      <c r="AU25" s="22" t="str" cm="1">
        <f t="array" aca="1" ref="AU25" ca="1">IFERROR(
  _xlfn.XLOOKUP(
    $B25,
    INDIRECT("'[storico profut.xlsm]Consiglio_Week'!B:B"),
    OFFSET( INDIRECT("'[storico profut.xlsm]Consiglio_Week'!$R:$R"), 0, COLUMNS($A:J)-1 )
  ),
  ""
)</f>
        <v/>
      </c>
      <c r="AV25" s="22" t="str" cm="1">
        <f t="array" aca="1" ref="AV25" ca="1">IFERROR(
  _xlfn.XLOOKUP(
    $B25,
    INDIRECT("'[storico profut.xlsm]Consiglio_Week'!B:B"),
    OFFSET( INDIRECT("'[storico profut.xlsm]Consiglio_Week'!$R:$R"), 0, COLUMNS($A:K)-1 )
  ),
  ""
)</f>
        <v/>
      </c>
      <c r="AW25" s="22" t="str" cm="1">
        <f t="array" aca="1" ref="AW25" ca="1">IFERROR(
  _xlfn.XLOOKUP(
    $B25,
    INDIRECT("'[storico profut.xlsm]Consiglio_Week'!B:B"),
    OFFSET( INDIRECT("'[storico profut.xlsm]Consiglio_Week'!$R:$R"), 0, COLUMNS($A:L)-1 )
  ),
  ""
)</f>
        <v/>
      </c>
      <c r="AX25" s="26" t="str" cm="1">
        <f t="array" aca="1" ref="AX25" ca="1">IFERROR(
  _xlfn.XLOOKUP(
    $B25,
    INDIRECT("'[storico profut.xlsm]Consiglio_Week'!B:B"),
    OFFSET( INDIRECT("'[storico profut.xlsm]Consiglio_Week'!$R:$R"), 0, COLUMNS($A:M)-1 )
  ),
  ""
)</f>
        <v/>
      </c>
      <c r="AY25" s="22">
        <v>0</v>
      </c>
    </row>
    <row r="26" spans="1:51">
      <c r="A26" t="s">
        <v>530</v>
      </c>
      <c r="B26" t="s">
        <v>419</v>
      </c>
      <c r="C26">
        <v>20</v>
      </c>
      <c r="D26">
        <v>2</v>
      </c>
      <c r="E26" s="6">
        <v>0.375</v>
      </c>
      <c r="F26" s="6">
        <v>0.625</v>
      </c>
      <c r="G26" s="5" t="s">
        <v>640</v>
      </c>
      <c r="H26" s="5" t="s">
        <v>640</v>
      </c>
      <c r="Q26" t="s">
        <v>468</v>
      </c>
      <c r="R26">
        <v>1</v>
      </c>
      <c r="S26" t="s">
        <v>573</v>
      </c>
      <c r="AH26" t="str" cm="1">
        <f t="array" aca="1" ref="AH26" ca="1">+IFERROR(_xlfn.XLOOKUP($B26,INDIRECT("'[storico profut.xlsm]Consiglio_Week'!$B:$B"),INDIRECT("'[storico profut.xlsm]Consiglio_Week'!$I:$I")),"")</f>
        <v/>
      </c>
      <c r="AI26" t="str" cm="1">
        <f t="array" aca="1" ref="AI26" ca="1">+IFERROR(_xlfn.XLOOKUP($B26,INDIRECT("'[storico profut.xlsm]Consiglio_Week'!$B:$B"),INDIRECT("'[storico profut.xlsm]Consiglio_Week'!$L:$L")),"")</f>
        <v/>
      </c>
      <c r="AJ26" t="str" cm="1">
        <f t="array" aca="1" ref="AJ26" ca="1">+IFERROR(_xlfn.XLOOKUP($B26,INDIRECT("'[storico profut.xlsm]Consiglio_Week'!$B:$B"),INDIRECT("'[storico profut.xlsm]Consiglio_Week'!$M:$M")),"")</f>
        <v/>
      </c>
      <c r="AK26" t="str" cm="1">
        <f t="array" aca="1" ref="AK26" ca="1">+IFERROR(_xlfn.XLOOKUP($B26,INDIRECT("'[storico profut.xlsm]Consiglio_Week'!$B:$B"),INDIRECT("'[storico profut.xlsm]Consiglio_Week'!$P:$P")),"")</f>
        <v/>
      </c>
      <c r="AL26" s="21" t="str" cm="1">
        <f t="array" aca="1" ref="AL26" ca="1">IFERROR(
  _xlfn.XLOOKUP(
    $B26,
    INDIRECT("'[storico profut.xlsm]Consiglio_Week'!B:B"),
    OFFSET( INDIRECT("'[storico profut.xlsm]Consiglio_Week'!$R:$R"), 0, COLUMNS($A:A)-1 )
  ),
  ""
)</f>
        <v/>
      </c>
      <c r="AM26" s="21" t="str" cm="1">
        <f t="array" aca="1" ref="AM26" ca="1">IFERROR(
  _xlfn.XLOOKUP(
    $B26,
    INDIRECT("'[storico profut.xlsm]Consiglio_Week'!B:B"),
    OFFSET( INDIRECT("'[storico profut.xlsm]Consiglio_Week'!$R:$R"), 0, COLUMNS($A:B)-1 )
  ),
  ""
)</f>
        <v/>
      </c>
      <c r="AN26" s="21" t="str" cm="1">
        <f t="array" aca="1" ref="AN26" ca="1">IFERROR(
  _xlfn.XLOOKUP(
    $B26,
    INDIRECT("'[storico profut.xlsm]Consiglio_Week'!B:B"),
    OFFSET( INDIRECT("'[storico profut.xlsm]Consiglio_Week'!$R:$R"), 0, COLUMNS($A:C)-1 )
  ),
  ""
)</f>
        <v/>
      </c>
      <c r="AO26" s="21" t="str" cm="1">
        <f t="array" aca="1" ref="AO26" ca="1">IFERROR(
  _xlfn.XLOOKUP(
    $B26,
    INDIRECT("'[storico profut.xlsm]Consiglio_Week'!B:B"),
    OFFSET( INDIRECT("'[storico profut.xlsm]Consiglio_Week'!$R:$R"), 0, COLUMNS($A:D)-1 )
  ),
  ""
)</f>
        <v/>
      </c>
      <c r="AP26" s="21" t="str" cm="1">
        <f t="array" aca="1" ref="AP26" ca="1">IFERROR(
  _xlfn.XLOOKUP(
    $B26,
    INDIRECT("'[storico profut.xlsm]Consiglio_Week'!B:B"),
    OFFSET( INDIRECT("'[storico profut.xlsm]Consiglio_Week'!$R:$R"), 0, COLUMNS($A:E)-1 )
  ),
  ""
)</f>
        <v/>
      </c>
      <c r="AQ26" s="22" t="str" cm="1">
        <f t="array" aca="1" ref="AQ26" ca="1">IFERROR(
  _xlfn.XLOOKUP(
    $B26,
    INDIRECT("'[storico profut.xlsm]Consiglio_Week'!B:B"),
    OFFSET( INDIRECT("'[storico profut.xlsm]Consiglio_Week'!$R:$R"), 0, COLUMNS($A:F)-1 )
  ),
  ""
)</f>
        <v/>
      </c>
      <c r="AR26" s="21" t="str" cm="1">
        <f t="array" aca="1" ref="AR26" ca="1">IFERROR(
  _xlfn.XLOOKUP(
    $B26,
    INDIRECT("'[storico profut.xlsm]Consiglio_Week'!B:B"),
    OFFSET( INDIRECT("'[storico profut.xlsm]Consiglio_Week'!$R:$R"), 0, COLUMNS($A:G)-1 )
  ),
  ""
)</f>
        <v/>
      </c>
      <c r="AS26" s="21" t="str" cm="1">
        <f t="array" aca="1" ref="AS26" ca="1">IFERROR(
  _xlfn.XLOOKUP(
    $B26,
    INDIRECT("'[storico profut.xlsm]Consiglio_Week'!B:B"),
    OFFSET( INDIRECT("'[storico profut.xlsm]Consiglio_Week'!$R:$R"), 0, COLUMNS($A:H)-1 )
  ),
  ""
)</f>
        <v/>
      </c>
      <c r="AT26" s="21" t="str" cm="1">
        <f t="array" aca="1" ref="AT26" ca="1">IFERROR(
  _xlfn.XLOOKUP(
    $B26,
    INDIRECT("'[storico profut.xlsm]Consiglio_Week'!B:B"),
    OFFSET( INDIRECT("'[storico profut.xlsm]Consiglio_Week'!$R:$R"), 0, COLUMNS($A:I)-1 )
  ),
  ""
)</f>
        <v/>
      </c>
      <c r="AU26" s="22" t="str" cm="1">
        <f t="array" aca="1" ref="AU26" ca="1">IFERROR(
  _xlfn.XLOOKUP(
    $B26,
    INDIRECT("'[storico profut.xlsm]Consiglio_Week'!B:B"),
    OFFSET( INDIRECT("'[storico profut.xlsm]Consiglio_Week'!$R:$R"), 0, COLUMNS($A:J)-1 )
  ),
  ""
)</f>
        <v/>
      </c>
      <c r="AV26" s="22" t="str" cm="1">
        <f t="array" aca="1" ref="AV26" ca="1">IFERROR(
  _xlfn.XLOOKUP(
    $B26,
    INDIRECT("'[storico profut.xlsm]Consiglio_Week'!B:B"),
    OFFSET( INDIRECT("'[storico profut.xlsm]Consiglio_Week'!$R:$R"), 0, COLUMNS($A:K)-1 )
  ),
  ""
)</f>
        <v/>
      </c>
      <c r="AW26" s="22" t="str" cm="1">
        <f t="array" aca="1" ref="AW26" ca="1">IFERROR(
  _xlfn.XLOOKUP(
    $B26,
    INDIRECT("'[storico profut.xlsm]Consiglio_Week'!B:B"),
    OFFSET( INDIRECT("'[storico profut.xlsm]Consiglio_Week'!$R:$R"), 0, COLUMNS($A:L)-1 )
  ),
  ""
)</f>
        <v/>
      </c>
      <c r="AX26" s="26" t="str" cm="1">
        <f t="array" aca="1" ref="AX26" ca="1">IFERROR(
  _xlfn.XLOOKUP(
    $B26,
    INDIRECT("'[storico profut.xlsm]Consiglio_Week'!B:B"),
    OFFSET( INDIRECT("'[storico profut.xlsm]Consiglio_Week'!$R:$R"), 0, COLUMNS($A:M)-1 )
  ),
  ""
)</f>
        <v/>
      </c>
      <c r="AY26" s="22">
        <v>0</v>
      </c>
    </row>
    <row r="27" spans="1:51">
      <c r="A27" t="s">
        <v>531</v>
      </c>
      <c r="B27" t="s">
        <v>420</v>
      </c>
      <c r="C27" s="30">
        <v>21</v>
      </c>
      <c r="D27">
        <v>2</v>
      </c>
      <c r="E27" s="16">
        <v>0.375</v>
      </c>
      <c r="F27" s="16">
        <v>0.58333333333333337</v>
      </c>
      <c r="G27" s="5" t="s">
        <v>640</v>
      </c>
      <c r="H27" s="5" t="s">
        <v>640</v>
      </c>
      <c r="Q27" t="s">
        <v>472</v>
      </c>
      <c r="R27">
        <v>0</v>
      </c>
      <c r="S27" t="s">
        <v>573</v>
      </c>
      <c r="AH27" t="str" cm="1">
        <f t="array" aca="1" ref="AH27" ca="1">+IFERROR(_xlfn.XLOOKUP($B27,INDIRECT("'[storico profut.xlsm]Consiglio_Week'!$B:$B"),INDIRECT("'[storico profut.xlsm]Consiglio_Week'!$I:$I")),"")</f>
        <v/>
      </c>
      <c r="AI27" t="str" cm="1">
        <f t="array" aca="1" ref="AI27" ca="1">+IFERROR(_xlfn.XLOOKUP($B27,INDIRECT("'[storico profut.xlsm]Consiglio_Week'!$B:$B"),INDIRECT("'[storico profut.xlsm]Consiglio_Week'!$L:$L")),"")</f>
        <v/>
      </c>
      <c r="AJ27" t="str" cm="1">
        <f t="array" aca="1" ref="AJ27" ca="1">+IFERROR(_xlfn.XLOOKUP($B27,INDIRECT("'[storico profut.xlsm]Consiglio_Week'!$B:$B"),INDIRECT("'[storico profut.xlsm]Consiglio_Week'!$M:$M")),"")</f>
        <v/>
      </c>
      <c r="AK27" t="str" cm="1">
        <f t="array" aca="1" ref="AK27" ca="1">+IFERROR(_xlfn.XLOOKUP($B27,INDIRECT("'[storico profut.xlsm]Consiglio_Week'!$B:$B"),INDIRECT("'[storico profut.xlsm]Consiglio_Week'!$P:$P")),"")</f>
        <v/>
      </c>
      <c r="AL27" s="21" t="str" cm="1">
        <f t="array" aca="1" ref="AL27" ca="1">IFERROR(
  _xlfn.XLOOKUP(
    $B27,
    INDIRECT("'[storico profut.xlsm]Consiglio_Week'!B:B"),
    OFFSET( INDIRECT("'[storico profut.xlsm]Consiglio_Week'!$R:$R"), 0, COLUMNS($A:A)-1 )
  ),
  ""
)</f>
        <v/>
      </c>
      <c r="AM27" s="21" t="str" cm="1">
        <f t="array" aca="1" ref="AM27" ca="1">IFERROR(
  _xlfn.XLOOKUP(
    $B27,
    INDIRECT("'[storico profut.xlsm]Consiglio_Week'!B:B"),
    OFFSET( INDIRECT("'[storico profut.xlsm]Consiglio_Week'!$R:$R"), 0, COLUMNS($A:B)-1 )
  ),
  ""
)</f>
        <v/>
      </c>
      <c r="AN27" s="21" t="str" cm="1">
        <f t="array" aca="1" ref="AN27" ca="1">IFERROR(
  _xlfn.XLOOKUP(
    $B27,
    INDIRECT("'[storico profut.xlsm]Consiglio_Week'!B:B"),
    OFFSET( INDIRECT("'[storico profut.xlsm]Consiglio_Week'!$R:$R"), 0, COLUMNS($A:C)-1 )
  ),
  ""
)</f>
        <v/>
      </c>
      <c r="AO27" s="21" t="str" cm="1">
        <f t="array" aca="1" ref="AO27" ca="1">IFERROR(
  _xlfn.XLOOKUP(
    $B27,
    INDIRECT("'[storico profut.xlsm]Consiglio_Week'!B:B"),
    OFFSET( INDIRECT("'[storico profut.xlsm]Consiglio_Week'!$R:$R"), 0, COLUMNS($A:D)-1 )
  ),
  ""
)</f>
        <v/>
      </c>
      <c r="AP27" s="21" t="str" cm="1">
        <f t="array" aca="1" ref="AP27" ca="1">IFERROR(
  _xlfn.XLOOKUP(
    $B27,
    INDIRECT("'[storico profut.xlsm]Consiglio_Week'!B:B"),
    OFFSET( INDIRECT("'[storico profut.xlsm]Consiglio_Week'!$R:$R"), 0, COLUMNS($A:E)-1 )
  ),
  ""
)</f>
        <v/>
      </c>
      <c r="AQ27" s="22" t="str" cm="1">
        <f t="array" aca="1" ref="AQ27" ca="1">IFERROR(
  _xlfn.XLOOKUP(
    $B27,
    INDIRECT("'[storico profut.xlsm]Consiglio_Week'!B:B"),
    OFFSET( INDIRECT("'[storico profut.xlsm]Consiglio_Week'!$R:$R"), 0, COLUMNS($A:F)-1 )
  ),
  ""
)</f>
        <v/>
      </c>
      <c r="AR27" s="21" t="str" cm="1">
        <f t="array" aca="1" ref="AR27" ca="1">IFERROR(
  _xlfn.XLOOKUP(
    $B27,
    INDIRECT("'[storico profut.xlsm]Consiglio_Week'!B:B"),
    OFFSET( INDIRECT("'[storico profut.xlsm]Consiglio_Week'!$R:$R"), 0, COLUMNS($A:G)-1 )
  ),
  ""
)</f>
        <v/>
      </c>
      <c r="AS27" s="21" t="str" cm="1">
        <f t="array" aca="1" ref="AS27" ca="1">IFERROR(
  _xlfn.XLOOKUP(
    $B27,
    INDIRECT("'[storico profut.xlsm]Consiglio_Week'!B:B"),
    OFFSET( INDIRECT("'[storico profut.xlsm]Consiglio_Week'!$R:$R"), 0, COLUMNS($A:H)-1 )
  ),
  ""
)</f>
        <v/>
      </c>
      <c r="AT27" s="21" t="str" cm="1">
        <f t="array" aca="1" ref="AT27" ca="1">IFERROR(
  _xlfn.XLOOKUP(
    $B27,
    INDIRECT("'[storico profut.xlsm]Consiglio_Week'!B:B"),
    OFFSET( INDIRECT("'[storico profut.xlsm]Consiglio_Week'!$R:$R"), 0, COLUMNS($A:I)-1 )
  ),
  ""
)</f>
        <v/>
      </c>
      <c r="AU27" s="22" t="str" cm="1">
        <f t="array" aca="1" ref="AU27" ca="1">IFERROR(
  _xlfn.XLOOKUP(
    $B27,
    INDIRECT("'[storico profut.xlsm]Consiglio_Week'!B:B"),
    OFFSET( INDIRECT("'[storico profut.xlsm]Consiglio_Week'!$R:$R"), 0, COLUMNS($A:J)-1 )
  ),
  ""
)</f>
        <v/>
      </c>
      <c r="AV27" s="22" t="str" cm="1">
        <f t="array" aca="1" ref="AV27" ca="1">IFERROR(
  _xlfn.XLOOKUP(
    $B27,
    INDIRECT("'[storico profut.xlsm]Consiglio_Week'!B:B"),
    OFFSET( INDIRECT("'[storico profut.xlsm]Consiglio_Week'!$R:$R"), 0, COLUMNS($A:K)-1 )
  ),
  ""
)</f>
        <v/>
      </c>
      <c r="AW27" s="22" t="str" cm="1">
        <f t="array" aca="1" ref="AW27" ca="1">IFERROR(
  _xlfn.XLOOKUP(
    $B27,
    INDIRECT("'[storico profut.xlsm]Consiglio_Week'!B:B"),
    OFFSET( INDIRECT("'[storico profut.xlsm]Consiglio_Week'!$R:$R"), 0, COLUMNS($A:L)-1 )
  ),
  ""
)</f>
        <v/>
      </c>
      <c r="AX27" s="26" t="str" cm="1">
        <f t="array" aca="1" ref="AX27" ca="1">IFERROR(
  _xlfn.XLOOKUP(
    $B27,
    INDIRECT("'[storico profut.xlsm]Consiglio_Week'!B:B"),
    OFFSET( INDIRECT("'[storico profut.xlsm]Consiglio_Week'!$R:$R"), 0, COLUMNS($A:M)-1 )
  ),
  ""
)</f>
        <v/>
      </c>
      <c r="AY27" s="22" t="s">
        <v>628</v>
      </c>
    </row>
    <row r="28" spans="1:51">
      <c r="A28" t="s">
        <v>532</v>
      </c>
      <c r="B28" t="s">
        <v>421</v>
      </c>
      <c r="C28">
        <v>20</v>
      </c>
      <c r="D28">
        <v>2</v>
      </c>
      <c r="E28" s="6">
        <v>0.625</v>
      </c>
      <c r="F28" s="6">
        <v>0.875</v>
      </c>
      <c r="G28" s="5" t="s">
        <v>640</v>
      </c>
      <c r="H28" s="5" t="s">
        <v>640</v>
      </c>
      <c r="Q28" t="s">
        <v>468</v>
      </c>
      <c r="R28">
        <v>1</v>
      </c>
      <c r="S28" t="s">
        <v>573</v>
      </c>
      <c r="AH28" t="str" cm="1">
        <f t="array" aca="1" ref="AH28" ca="1">+IFERROR(_xlfn.XLOOKUP($B28,INDIRECT("'[storico profut.xlsm]Consiglio_Week'!$B:$B"),INDIRECT("'[storico profut.xlsm]Consiglio_Week'!$I:$I")),"")</f>
        <v/>
      </c>
      <c r="AI28" t="str" cm="1">
        <f t="array" aca="1" ref="AI28" ca="1">+IFERROR(_xlfn.XLOOKUP($B28,INDIRECT("'[storico profut.xlsm]Consiglio_Week'!$B:$B"),INDIRECT("'[storico profut.xlsm]Consiglio_Week'!$L:$L")),"")</f>
        <v/>
      </c>
      <c r="AJ28" t="str" cm="1">
        <f t="array" aca="1" ref="AJ28" ca="1">+IFERROR(_xlfn.XLOOKUP($B28,INDIRECT("'[storico profut.xlsm]Consiglio_Week'!$B:$B"),INDIRECT("'[storico profut.xlsm]Consiglio_Week'!$M:$M")),"")</f>
        <v/>
      </c>
      <c r="AK28" t="str" cm="1">
        <f t="array" aca="1" ref="AK28" ca="1">+IFERROR(_xlfn.XLOOKUP($B28,INDIRECT("'[storico profut.xlsm]Consiglio_Week'!$B:$B"),INDIRECT("'[storico profut.xlsm]Consiglio_Week'!$P:$P")),"")</f>
        <v/>
      </c>
      <c r="AL28" s="21" t="str" cm="1">
        <f t="array" aca="1" ref="AL28" ca="1">IFERROR(
  _xlfn.XLOOKUP(
    $B28,
    INDIRECT("'[storico profut.xlsm]Consiglio_Week'!B:B"),
    OFFSET( INDIRECT("'[storico profut.xlsm]Consiglio_Week'!$R:$R"), 0, COLUMNS($A:A)-1 )
  ),
  ""
)</f>
        <v/>
      </c>
      <c r="AM28" s="21" t="str" cm="1">
        <f t="array" aca="1" ref="AM28" ca="1">IFERROR(
  _xlfn.XLOOKUP(
    $B28,
    INDIRECT("'[storico profut.xlsm]Consiglio_Week'!B:B"),
    OFFSET( INDIRECT("'[storico profut.xlsm]Consiglio_Week'!$R:$R"), 0, COLUMNS($A:B)-1 )
  ),
  ""
)</f>
        <v/>
      </c>
      <c r="AN28" s="21" t="str" cm="1">
        <f t="array" aca="1" ref="AN28" ca="1">IFERROR(
  _xlfn.XLOOKUP(
    $B28,
    INDIRECT("'[storico profut.xlsm]Consiglio_Week'!B:B"),
    OFFSET( INDIRECT("'[storico profut.xlsm]Consiglio_Week'!$R:$R"), 0, COLUMNS($A:C)-1 )
  ),
  ""
)</f>
        <v/>
      </c>
      <c r="AO28" s="21" t="str" cm="1">
        <f t="array" aca="1" ref="AO28" ca="1">IFERROR(
  _xlfn.XLOOKUP(
    $B28,
    INDIRECT("'[storico profut.xlsm]Consiglio_Week'!B:B"),
    OFFSET( INDIRECT("'[storico profut.xlsm]Consiglio_Week'!$R:$R"), 0, COLUMNS($A:D)-1 )
  ),
  ""
)</f>
        <v/>
      </c>
      <c r="AP28" s="21" t="str" cm="1">
        <f t="array" aca="1" ref="AP28" ca="1">IFERROR(
  _xlfn.XLOOKUP(
    $B28,
    INDIRECT("'[storico profut.xlsm]Consiglio_Week'!B:B"),
    OFFSET( INDIRECT("'[storico profut.xlsm]Consiglio_Week'!$R:$R"), 0, COLUMNS($A:E)-1 )
  ),
  ""
)</f>
        <v/>
      </c>
      <c r="AQ28" s="22" t="str" cm="1">
        <f t="array" aca="1" ref="AQ28" ca="1">IFERROR(
  _xlfn.XLOOKUP(
    $B28,
    INDIRECT("'[storico profut.xlsm]Consiglio_Week'!B:B"),
    OFFSET( INDIRECT("'[storico profut.xlsm]Consiglio_Week'!$R:$R"), 0, COLUMNS($A:F)-1 )
  ),
  ""
)</f>
        <v/>
      </c>
      <c r="AR28" s="21" t="str" cm="1">
        <f t="array" aca="1" ref="AR28" ca="1">IFERROR(
  _xlfn.XLOOKUP(
    $B28,
    INDIRECT("'[storico profut.xlsm]Consiglio_Week'!B:B"),
    OFFSET( INDIRECT("'[storico profut.xlsm]Consiglio_Week'!$R:$R"), 0, COLUMNS($A:G)-1 )
  ),
  ""
)</f>
        <v/>
      </c>
      <c r="AS28" s="21" t="str" cm="1">
        <f t="array" aca="1" ref="AS28" ca="1">IFERROR(
  _xlfn.XLOOKUP(
    $B28,
    INDIRECT("'[storico profut.xlsm]Consiglio_Week'!B:B"),
    OFFSET( INDIRECT("'[storico profut.xlsm]Consiglio_Week'!$R:$R"), 0, COLUMNS($A:H)-1 )
  ),
  ""
)</f>
        <v/>
      </c>
      <c r="AT28" s="21" t="str" cm="1">
        <f t="array" aca="1" ref="AT28" ca="1">IFERROR(
  _xlfn.XLOOKUP(
    $B28,
    INDIRECT("'[storico profut.xlsm]Consiglio_Week'!B:B"),
    OFFSET( INDIRECT("'[storico profut.xlsm]Consiglio_Week'!$R:$R"), 0, COLUMNS($A:I)-1 )
  ),
  ""
)</f>
        <v/>
      </c>
      <c r="AU28" s="22" t="str" cm="1">
        <f t="array" aca="1" ref="AU28" ca="1">IFERROR(
  _xlfn.XLOOKUP(
    $B28,
    INDIRECT("'[storico profut.xlsm]Consiglio_Week'!B:B"),
    OFFSET( INDIRECT("'[storico profut.xlsm]Consiglio_Week'!$R:$R"), 0, COLUMNS($A:J)-1 )
  ),
  ""
)</f>
        <v/>
      </c>
      <c r="AV28" s="22" t="str" cm="1">
        <f t="array" aca="1" ref="AV28" ca="1">IFERROR(
  _xlfn.XLOOKUP(
    $B28,
    INDIRECT("'[storico profut.xlsm]Consiglio_Week'!B:B"),
    OFFSET( INDIRECT("'[storico profut.xlsm]Consiglio_Week'!$R:$R"), 0, COLUMNS($A:K)-1 )
  ),
  ""
)</f>
        <v/>
      </c>
      <c r="AW28" s="22" t="str" cm="1">
        <f t="array" aca="1" ref="AW28" ca="1">IFERROR(
  _xlfn.XLOOKUP(
    $B28,
    INDIRECT("'[storico profut.xlsm]Consiglio_Week'!B:B"),
    OFFSET( INDIRECT("'[storico profut.xlsm]Consiglio_Week'!$R:$R"), 0, COLUMNS($A:L)-1 )
  ),
  ""
)</f>
        <v/>
      </c>
      <c r="AX28" s="26" t="str" cm="1">
        <f t="array" aca="1" ref="AX28" ca="1">IFERROR(
  _xlfn.XLOOKUP(
    $B28,
    INDIRECT("'[storico profut.xlsm]Consiglio_Week'!B:B"),
    OFFSET( INDIRECT("'[storico profut.xlsm]Consiglio_Week'!$R:$R"), 0, COLUMNS($A:M)-1 )
  ),
  ""
)</f>
        <v/>
      </c>
      <c r="AY28" s="22">
        <v>0</v>
      </c>
    </row>
    <row r="29" spans="1:51">
      <c r="A29" t="s">
        <v>533</v>
      </c>
      <c r="B29" t="s">
        <v>422</v>
      </c>
      <c r="C29">
        <v>20</v>
      </c>
      <c r="D29">
        <v>2</v>
      </c>
      <c r="E29" s="6">
        <v>0.625</v>
      </c>
      <c r="F29" s="6">
        <v>0.875</v>
      </c>
      <c r="G29" s="5" t="s">
        <v>640</v>
      </c>
      <c r="H29" s="7" t="s">
        <v>640</v>
      </c>
      <c r="Q29" t="s">
        <v>468</v>
      </c>
      <c r="R29">
        <v>1</v>
      </c>
      <c r="S29" t="s">
        <v>573</v>
      </c>
      <c r="AH29" t="str" cm="1">
        <f t="array" aca="1" ref="AH29" ca="1">+IFERROR(_xlfn.XLOOKUP($B29,INDIRECT("'[storico profut.xlsm]Consiglio_Week'!$B:$B"),INDIRECT("'[storico profut.xlsm]Consiglio_Week'!$I:$I")),"")</f>
        <v/>
      </c>
      <c r="AI29" t="str" cm="1">
        <f t="array" aca="1" ref="AI29" ca="1">+IFERROR(_xlfn.XLOOKUP($B29,INDIRECT("'[storico profut.xlsm]Consiglio_Week'!$B:$B"),INDIRECT("'[storico profut.xlsm]Consiglio_Week'!$L:$L")),"")</f>
        <v/>
      </c>
      <c r="AJ29" t="str" cm="1">
        <f t="array" aca="1" ref="AJ29" ca="1">+IFERROR(_xlfn.XLOOKUP($B29,INDIRECT("'[storico profut.xlsm]Consiglio_Week'!$B:$B"),INDIRECT("'[storico profut.xlsm]Consiglio_Week'!$M:$M")),"")</f>
        <v/>
      </c>
      <c r="AK29" t="str" cm="1">
        <f t="array" aca="1" ref="AK29" ca="1">+IFERROR(_xlfn.XLOOKUP($B29,INDIRECT("'[storico profut.xlsm]Consiglio_Week'!$B:$B"),INDIRECT("'[storico profut.xlsm]Consiglio_Week'!$P:$P")),"")</f>
        <v/>
      </c>
      <c r="AL29" s="21" t="str" cm="1">
        <f t="array" aca="1" ref="AL29" ca="1">IFERROR(
  _xlfn.XLOOKUP(
    $B29,
    INDIRECT("'[storico profut.xlsm]Consiglio_Week'!B:B"),
    OFFSET( INDIRECT("'[storico profut.xlsm]Consiglio_Week'!$R:$R"), 0, COLUMNS($A:A)-1 )
  ),
  ""
)</f>
        <v/>
      </c>
      <c r="AM29" s="21" t="str" cm="1">
        <f t="array" aca="1" ref="AM29" ca="1">IFERROR(
  _xlfn.XLOOKUP(
    $B29,
    INDIRECT("'[storico profut.xlsm]Consiglio_Week'!B:B"),
    OFFSET( INDIRECT("'[storico profut.xlsm]Consiglio_Week'!$R:$R"), 0, COLUMNS($A:B)-1 )
  ),
  ""
)</f>
        <v/>
      </c>
      <c r="AN29" s="21" t="str" cm="1">
        <f t="array" aca="1" ref="AN29" ca="1">IFERROR(
  _xlfn.XLOOKUP(
    $B29,
    INDIRECT("'[storico profut.xlsm]Consiglio_Week'!B:B"),
    OFFSET( INDIRECT("'[storico profut.xlsm]Consiglio_Week'!$R:$R"), 0, COLUMNS($A:C)-1 )
  ),
  ""
)</f>
        <v/>
      </c>
      <c r="AO29" s="21" t="str" cm="1">
        <f t="array" aca="1" ref="AO29" ca="1">IFERROR(
  _xlfn.XLOOKUP(
    $B29,
    INDIRECT("'[storico profut.xlsm]Consiglio_Week'!B:B"),
    OFFSET( INDIRECT("'[storico profut.xlsm]Consiglio_Week'!$R:$R"), 0, COLUMNS($A:D)-1 )
  ),
  ""
)</f>
        <v/>
      </c>
      <c r="AP29" s="21" t="str" cm="1">
        <f t="array" aca="1" ref="AP29" ca="1">IFERROR(
  _xlfn.XLOOKUP(
    $B29,
    INDIRECT("'[storico profut.xlsm]Consiglio_Week'!B:B"),
    OFFSET( INDIRECT("'[storico profut.xlsm]Consiglio_Week'!$R:$R"), 0, COLUMNS($A:E)-1 )
  ),
  ""
)</f>
        <v/>
      </c>
      <c r="AQ29" s="22" t="str" cm="1">
        <f t="array" aca="1" ref="AQ29" ca="1">IFERROR(
  _xlfn.XLOOKUP(
    $B29,
    INDIRECT("'[storico profut.xlsm]Consiglio_Week'!B:B"),
    OFFSET( INDIRECT("'[storico profut.xlsm]Consiglio_Week'!$R:$R"), 0, COLUMNS($A:F)-1 )
  ),
  ""
)</f>
        <v/>
      </c>
      <c r="AR29" s="21" t="str" cm="1">
        <f t="array" aca="1" ref="AR29" ca="1">IFERROR(
  _xlfn.XLOOKUP(
    $B29,
    INDIRECT("'[storico profut.xlsm]Consiglio_Week'!B:B"),
    OFFSET( INDIRECT("'[storico profut.xlsm]Consiglio_Week'!$R:$R"), 0, COLUMNS($A:G)-1 )
  ),
  ""
)</f>
        <v/>
      </c>
      <c r="AS29" s="21" t="str" cm="1">
        <f t="array" aca="1" ref="AS29" ca="1">IFERROR(
  _xlfn.XLOOKUP(
    $B29,
    INDIRECT("'[storico profut.xlsm]Consiglio_Week'!B:B"),
    OFFSET( INDIRECT("'[storico profut.xlsm]Consiglio_Week'!$R:$R"), 0, COLUMNS($A:H)-1 )
  ),
  ""
)</f>
        <v/>
      </c>
      <c r="AT29" s="21" t="str" cm="1">
        <f t="array" aca="1" ref="AT29" ca="1">IFERROR(
  _xlfn.XLOOKUP(
    $B29,
    INDIRECT("'[storico profut.xlsm]Consiglio_Week'!B:B"),
    OFFSET( INDIRECT("'[storico profut.xlsm]Consiglio_Week'!$R:$R"), 0, COLUMNS($A:I)-1 )
  ),
  ""
)</f>
        <v/>
      </c>
      <c r="AU29" s="22" t="str" cm="1">
        <f t="array" aca="1" ref="AU29" ca="1">IFERROR(
  _xlfn.XLOOKUP(
    $B29,
    INDIRECT("'[storico profut.xlsm]Consiglio_Week'!B:B"),
    OFFSET( INDIRECT("'[storico profut.xlsm]Consiglio_Week'!$R:$R"), 0, COLUMNS($A:J)-1 )
  ),
  ""
)</f>
        <v/>
      </c>
      <c r="AV29" s="22" t="str" cm="1">
        <f t="array" aca="1" ref="AV29" ca="1">IFERROR(
  _xlfn.XLOOKUP(
    $B29,
    INDIRECT("'[storico profut.xlsm]Consiglio_Week'!B:B"),
    OFFSET( INDIRECT("'[storico profut.xlsm]Consiglio_Week'!$R:$R"), 0, COLUMNS($A:K)-1 )
  ),
  ""
)</f>
        <v/>
      </c>
      <c r="AW29" s="22" t="str" cm="1">
        <f t="array" aca="1" ref="AW29" ca="1">IFERROR(
  _xlfn.XLOOKUP(
    $B29,
    INDIRECT("'[storico profut.xlsm]Consiglio_Week'!B:B"),
    OFFSET( INDIRECT("'[storico profut.xlsm]Consiglio_Week'!$R:$R"), 0, COLUMNS($A:L)-1 )
  ),
  ""
)</f>
        <v/>
      </c>
      <c r="AX29" s="26" t="str" cm="1">
        <f t="array" aca="1" ref="AX29" ca="1">IFERROR(
  _xlfn.XLOOKUP(
    $B29,
    INDIRECT("'[storico profut.xlsm]Consiglio_Week'!B:B"),
    OFFSET( INDIRECT("'[storico profut.xlsm]Consiglio_Week'!$R:$R"), 0, COLUMNS($A:M)-1 )
  ),
  ""
)</f>
        <v/>
      </c>
      <c r="AY29" s="22">
        <v>0</v>
      </c>
    </row>
    <row r="30" spans="1:51">
      <c r="A30" t="s">
        <v>534</v>
      </c>
      <c r="B30" t="s">
        <v>423</v>
      </c>
      <c r="C30">
        <v>20</v>
      </c>
      <c r="D30">
        <v>2</v>
      </c>
      <c r="E30" s="6">
        <v>0.375</v>
      </c>
      <c r="F30" s="6">
        <v>0.625</v>
      </c>
      <c r="G30" s="7"/>
      <c r="H30" s="5"/>
      <c r="Q30" t="s">
        <v>468</v>
      </c>
      <c r="R30">
        <v>1</v>
      </c>
      <c r="S30" t="s">
        <v>573</v>
      </c>
      <c r="AH30" t="str" cm="1">
        <f t="array" aca="1" ref="AH30" ca="1">+IFERROR(_xlfn.XLOOKUP($B30,INDIRECT("'[storico profut.xlsm]Consiglio_Week'!$B:$B"),INDIRECT("'[storico profut.xlsm]Consiglio_Week'!$I:$I")),"")</f>
        <v/>
      </c>
      <c r="AI30" t="str" cm="1">
        <f t="array" aca="1" ref="AI30" ca="1">+IFERROR(_xlfn.XLOOKUP($B30,INDIRECT("'[storico profut.xlsm]Consiglio_Week'!$B:$B"),INDIRECT("'[storico profut.xlsm]Consiglio_Week'!$L:$L")),"")</f>
        <v/>
      </c>
      <c r="AJ30" t="str" cm="1">
        <f t="array" aca="1" ref="AJ30" ca="1">+IFERROR(_xlfn.XLOOKUP($B30,INDIRECT("'[storico profut.xlsm]Consiglio_Week'!$B:$B"),INDIRECT("'[storico profut.xlsm]Consiglio_Week'!$M:$M")),"")</f>
        <v/>
      </c>
      <c r="AK30" t="str" cm="1">
        <f t="array" aca="1" ref="AK30" ca="1">+IFERROR(_xlfn.XLOOKUP($B30,INDIRECT("'[storico profut.xlsm]Consiglio_Week'!$B:$B"),INDIRECT("'[storico profut.xlsm]Consiglio_Week'!$P:$P")),"")</f>
        <v/>
      </c>
      <c r="AL30" s="21" t="str" cm="1">
        <f t="array" aca="1" ref="AL30" ca="1">IFERROR(
  _xlfn.XLOOKUP(
    $B30,
    INDIRECT("'[storico profut.xlsm]Consiglio_Week'!B:B"),
    OFFSET( INDIRECT("'[storico profut.xlsm]Consiglio_Week'!$R:$R"), 0, COLUMNS($A:A)-1 )
  ),
  ""
)</f>
        <v/>
      </c>
      <c r="AM30" s="21" t="str" cm="1">
        <f t="array" aca="1" ref="AM30" ca="1">IFERROR(
  _xlfn.XLOOKUP(
    $B30,
    INDIRECT("'[storico profut.xlsm]Consiglio_Week'!B:B"),
    OFFSET( INDIRECT("'[storico profut.xlsm]Consiglio_Week'!$R:$R"), 0, COLUMNS($A:B)-1 )
  ),
  ""
)</f>
        <v/>
      </c>
      <c r="AN30" s="21" t="str" cm="1">
        <f t="array" aca="1" ref="AN30" ca="1">IFERROR(
  _xlfn.XLOOKUP(
    $B30,
    INDIRECT("'[storico profut.xlsm]Consiglio_Week'!B:B"),
    OFFSET( INDIRECT("'[storico profut.xlsm]Consiglio_Week'!$R:$R"), 0, COLUMNS($A:C)-1 )
  ),
  ""
)</f>
        <v/>
      </c>
      <c r="AO30" s="21" t="str" cm="1">
        <f t="array" aca="1" ref="AO30" ca="1">IFERROR(
  _xlfn.XLOOKUP(
    $B30,
    INDIRECT("'[storico profut.xlsm]Consiglio_Week'!B:B"),
    OFFSET( INDIRECT("'[storico profut.xlsm]Consiglio_Week'!$R:$R"), 0, COLUMNS($A:D)-1 )
  ),
  ""
)</f>
        <v/>
      </c>
      <c r="AP30" s="21" t="str" cm="1">
        <f t="array" aca="1" ref="AP30" ca="1">IFERROR(
  _xlfn.XLOOKUP(
    $B30,
    INDIRECT("'[storico profut.xlsm]Consiglio_Week'!B:B"),
    OFFSET( INDIRECT("'[storico profut.xlsm]Consiglio_Week'!$R:$R"), 0, COLUMNS($A:E)-1 )
  ),
  ""
)</f>
        <v/>
      </c>
      <c r="AQ30" s="22" t="str" cm="1">
        <f t="array" aca="1" ref="AQ30" ca="1">IFERROR(
  _xlfn.XLOOKUP(
    $B30,
    INDIRECT("'[storico profut.xlsm]Consiglio_Week'!B:B"),
    OFFSET( INDIRECT("'[storico profut.xlsm]Consiglio_Week'!$R:$R"), 0, COLUMNS($A:F)-1 )
  ),
  ""
)</f>
        <v/>
      </c>
      <c r="AR30" s="21" t="str" cm="1">
        <f t="array" aca="1" ref="AR30" ca="1">IFERROR(
  _xlfn.XLOOKUP(
    $B30,
    INDIRECT("'[storico profut.xlsm]Consiglio_Week'!B:B"),
    OFFSET( INDIRECT("'[storico profut.xlsm]Consiglio_Week'!$R:$R"), 0, COLUMNS($A:G)-1 )
  ),
  ""
)</f>
        <v/>
      </c>
      <c r="AS30" s="21" t="str" cm="1">
        <f t="array" aca="1" ref="AS30" ca="1">IFERROR(
  _xlfn.XLOOKUP(
    $B30,
    INDIRECT("'[storico profut.xlsm]Consiglio_Week'!B:B"),
    OFFSET( INDIRECT("'[storico profut.xlsm]Consiglio_Week'!$R:$R"), 0, COLUMNS($A:H)-1 )
  ),
  ""
)</f>
        <v/>
      </c>
      <c r="AT30" s="21" t="str" cm="1">
        <f t="array" aca="1" ref="AT30" ca="1">IFERROR(
  _xlfn.XLOOKUP(
    $B30,
    INDIRECT("'[storico profut.xlsm]Consiglio_Week'!B:B"),
    OFFSET( INDIRECT("'[storico profut.xlsm]Consiglio_Week'!$R:$R"), 0, COLUMNS($A:I)-1 )
  ),
  ""
)</f>
        <v/>
      </c>
      <c r="AU30" s="22" t="str" cm="1">
        <f t="array" aca="1" ref="AU30" ca="1">IFERROR(
  _xlfn.XLOOKUP(
    $B30,
    INDIRECT("'[storico profut.xlsm]Consiglio_Week'!B:B"),
    OFFSET( INDIRECT("'[storico profut.xlsm]Consiglio_Week'!$R:$R"), 0, COLUMNS($A:J)-1 )
  ),
  ""
)</f>
        <v/>
      </c>
      <c r="AV30" s="22" t="str" cm="1">
        <f t="array" aca="1" ref="AV30" ca="1">IFERROR(
  _xlfn.XLOOKUP(
    $B30,
    INDIRECT("'[storico profut.xlsm]Consiglio_Week'!B:B"),
    OFFSET( INDIRECT("'[storico profut.xlsm]Consiglio_Week'!$R:$R"), 0, COLUMNS($A:K)-1 )
  ),
  ""
)</f>
        <v/>
      </c>
      <c r="AW30" s="22" t="str" cm="1">
        <f t="array" aca="1" ref="AW30" ca="1">IFERROR(
  _xlfn.XLOOKUP(
    $B30,
    INDIRECT("'[storico profut.xlsm]Consiglio_Week'!B:B"),
    OFFSET( INDIRECT("'[storico profut.xlsm]Consiglio_Week'!$R:$R"), 0, COLUMNS($A:L)-1 )
  ),
  ""
)</f>
        <v/>
      </c>
      <c r="AX30" s="26" t="str" cm="1">
        <f t="array" aca="1" ref="AX30" ca="1">IFERROR(
  _xlfn.XLOOKUP(
    $B30,
    INDIRECT("'[storico profut.xlsm]Consiglio_Week'!B:B"),
    OFFSET( INDIRECT("'[storico profut.xlsm]Consiglio_Week'!$R:$R"), 0, COLUMNS($A:M)-1 )
  ),
  ""
)</f>
        <v/>
      </c>
      <c r="AY30" s="22">
        <v>0</v>
      </c>
    </row>
    <row r="31" spans="1:51">
      <c r="A31" t="s">
        <v>535</v>
      </c>
      <c r="B31" t="s">
        <v>424</v>
      </c>
      <c r="C31">
        <v>20</v>
      </c>
      <c r="D31">
        <v>2</v>
      </c>
      <c r="E31" s="6">
        <v>0.375</v>
      </c>
      <c r="F31" s="6">
        <v>0.625</v>
      </c>
      <c r="G31" s="5"/>
      <c r="H31" s="5"/>
      <c r="Q31" t="s">
        <v>468</v>
      </c>
      <c r="R31">
        <v>1</v>
      </c>
      <c r="S31" t="s">
        <v>573</v>
      </c>
      <c r="AH31" t="str" cm="1">
        <f t="array" aca="1" ref="AH31" ca="1">+IFERROR(_xlfn.XLOOKUP($B31,INDIRECT("'[storico profut.xlsm]Consiglio_Week'!$B:$B"),INDIRECT("'[storico profut.xlsm]Consiglio_Week'!$I:$I")),"")</f>
        <v/>
      </c>
      <c r="AI31" t="str" cm="1">
        <f t="array" aca="1" ref="AI31" ca="1">+IFERROR(_xlfn.XLOOKUP($B31,INDIRECT("'[storico profut.xlsm]Consiglio_Week'!$B:$B"),INDIRECT("'[storico profut.xlsm]Consiglio_Week'!$L:$L")),"")</f>
        <v/>
      </c>
      <c r="AJ31" t="str" cm="1">
        <f t="array" aca="1" ref="AJ31" ca="1">+IFERROR(_xlfn.XLOOKUP($B31,INDIRECT("'[storico profut.xlsm]Consiglio_Week'!$B:$B"),INDIRECT("'[storico profut.xlsm]Consiglio_Week'!$M:$M")),"")</f>
        <v/>
      </c>
      <c r="AK31" t="str" cm="1">
        <f t="array" aca="1" ref="AK31" ca="1">+IFERROR(_xlfn.XLOOKUP($B31,INDIRECT("'[storico profut.xlsm]Consiglio_Week'!$B:$B"),INDIRECT("'[storico profut.xlsm]Consiglio_Week'!$P:$P")),"")</f>
        <v/>
      </c>
      <c r="AL31" s="21" t="str" cm="1">
        <f t="array" aca="1" ref="AL31" ca="1">IFERROR(
  _xlfn.XLOOKUP(
    $B31,
    INDIRECT("'[storico profut.xlsm]Consiglio_Week'!B:B"),
    OFFSET( INDIRECT("'[storico profut.xlsm]Consiglio_Week'!$R:$R"), 0, COLUMNS($A:A)-1 )
  ),
  ""
)</f>
        <v/>
      </c>
      <c r="AM31" s="21" t="str" cm="1">
        <f t="array" aca="1" ref="AM31" ca="1">IFERROR(
  _xlfn.XLOOKUP(
    $B31,
    INDIRECT("'[storico profut.xlsm]Consiglio_Week'!B:B"),
    OFFSET( INDIRECT("'[storico profut.xlsm]Consiglio_Week'!$R:$R"), 0, COLUMNS($A:B)-1 )
  ),
  ""
)</f>
        <v/>
      </c>
      <c r="AN31" s="21" t="str" cm="1">
        <f t="array" aca="1" ref="AN31" ca="1">IFERROR(
  _xlfn.XLOOKUP(
    $B31,
    INDIRECT("'[storico profut.xlsm]Consiglio_Week'!B:B"),
    OFFSET( INDIRECT("'[storico profut.xlsm]Consiglio_Week'!$R:$R"), 0, COLUMNS($A:C)-1 )
  ),
  ""
)</f>
        <v/>
      </c>
      <c r="AO31" s="21" t="str" cm="1">
        <f t="array" aca="1" ref="AO31" ca="1">IFERROR(
  _xlfn.XLOOKUP(
    $B31,
    INDIRECT("'[storico profut.xlsm]Consiglio_Week'!B:B"),
    OFFSET( INDIRECT("'[storico profut.xlsm]Consiglio_Week'!$R:$R"), 0, COLUMNS($A:D)-1 )
  ),
  ""
)</f>
        <v/>
      </c>
      <c r="AP31" s="21" t="str" cm="1">
        <f t="array" aca="1" ref="AP31" ca="1">IFERROR(
  _xlfn.XLOOKUP(
    $B31,
    INDIRECT("'[storico profut.xlsm]Consiglio_Week'!B:B"),
    OFFSET( INDIRECT("'[storico profut.xlsm]Consiglio_Week'!$R:$R"), 0, COLUMNS($A:E)-1 )
  ),
  ""
)</f>
        <v/>
      </c>
      <c r="AQ31" s="22" t="str" cm="1">
        <f t="array" aca="1" ref="AQ31" ca="1">IFERROR(
  _xlfn.XLOOKUP(
    $B31,
    INDIRECT("'[storico profut.xlsm]Consiglio_Week'!B:B"),
    OFFSET( INDIRECT("'[storico profut.xlsm]Consiglio_Week'!$R:$R"), 0, COLUMNS($A:F)-1 )
  ),
  ""
)</f>
        <v/>
      </c>
      <c r="AR31" s="21" t="str" cm="1">
        <f t="array" aca="1" ref="AR31" ca="1">IFERROR(
  _xlfn.XLOOKUP(
    $B31,
    INDIRECT("'[storico profut.xlsm]Consiglio_Week'!B:B"),
    OFFSET( INDIRECT("'[storico profut.xlsm]Consiglio_Week'!$R:$R"), 0, COLUMNS($A:G)-1 )
  ),
  ""
)</f>
        <v/>
      </c>
      <c r="AS31" s="21" t="str" cm="1">
        <f t="array" aca="1" ref="AS31" ca="1">IFERROR(
  _xlfn.XLOOKUP(
    $B31,
    INDIRECT("'[storico profut.xlsm]Consiglio_Week'!B:B"),
    OFFSET( INDIRECT("'[storico profut.xlsm]Consiglio_Week'!$R:$R"), 0, COLUMNS($A:H)-1 )
  ),
  ""
)</f>
        <v/>
      </c>
      <c r="AT31" s="21" t="str" cm="1">
        <f t="array" aca="1" ref="AT31" ca="1">IFERROR(
  _xlfn.XLOOKUP(
    $B31,
    INDIRECT("'[storico profut.xlsm]Consiglio_Week'!B:B"),
    OFFSET( INDIRECT("'[storico profut.xlsm]Consiglio_Week'!$R:$R"), 0, COLUMNS($A:I)-1 )
  ),
  ""
)</f>
        <v/>
      </c>
      <c r="AU31" s="22" t="str" cm="1">
        <f t="array" aca="1" ref="AU31" ca="1">IFERROR(
  _xlfn.XLOOKUP(
    $B31,
    INDIRECT("'[storico profut.xlsm]Consiglio_Week'!B:B"),
    OFFSET( INDIRECT("'[storico profut.xlsm]Consiglio_Week'!$R:$R"), 0, COLUMNS($A:J)-1 )
  ),
  ""
)</f>
        <v/>
      </c>
      <c r="AV31" s="22" t="str" cm="1">
        <f t="array" aca="1" ref="AV31" ca="1">IFERROR(
  _xlfn.XLOOKUP(
    $B31,
    INDIRECT("'[storico profut.xlsm]Consiglio_Week'!B:B"),
    OFFSET( INDIRECT("'[storico profut.xlsm]Consiglio_Week'!$R:$R"), 0, COLUMNS($A:K)-1 )
  ),
  ""
)</f>
        <v/>
      </c>
      <c r="AW31" s="22" t="str" cm="1">
        <f t="array" aca="1" ref="AW31" ca="1">IFERROR(
  _xlfn.XLOOKUP(
    $B31,
    INDIRECT("'[storico profut.xlsm]Consiglio_Week'!B:B"),
    OFFSET( INDIRECT("'[storico profut.xlsm]Consiglio_Week'!$R:$R"), 0, COLUMNS($A:L)-1 )
  ),
  ""
)</f>
        <v/>
      </c>
      <c r="AX31" s="26" t="str" cm="1">
        <f t="array" aca="1" ref="AX31" ca="1">IFERROR(
  _xlfn.XLOOKUP(
    $B31,
    INDIRECT("'[storico profut.xlsm]Consiglio_Week'!B:B"),
    OFFSET( INDIRECT("'[storico profut.xlsm]Consiglio_Week'!$R:$R"), 0, COLUMNS($A:M)-1 )
  ),
  ""
)</f>
        <v/>
      </c>
      <c r="AY31" s="22">
        <v>0</v>
      </c>
    </row>
    <row r="32" spans="1:51">
      <c r="A32" t="s">
        <v>536</v>
      </c>
      <c r="B32" t="s">
        <v>425</v>
      </c>
      <c r="C32">
        <v>20</v>
      </c>
      <c r="D32">
        <v>2</v>
      </c>
      <c r="E32" s="6">
        <v>0.625</v>
      </c>
      <c r="F32" s="6">
        <v>0.875</v>
      </c>
      <c r="G32" s="7"/>
      <c r="H32" s="5"/>
      <c r="Q32" t="s">
        <v>468</v>
      </c>
      <c r="R32">
        <v>1</v>
      </c>
      <c r="S32" t="s">
        <v>573</v>
      </c>
      <c r="AH32" t="str" cm="1">
        <f t="array" aca="1" ref="AH32" ca="1">+IFERROR(_xlfn.XLOOKUP($B32,INDIRECT("'[storico profut.xlsm]Consiglio_Week'!$B:$B"),INDIRECT("'[storico profut.xlsm]Consiglio_Week'!$I:$I")),"")</f>
        <v/>
      </c>
      <c r="AI32" t="str" cm="1">
        <f t="array" aca="1" ref="AI32" ca="1">+IFERROR(_xlfn.XLOOKUP($B32,INDIRECT("'[storico profut.xlsm]Consiglio_Week'!$B:$B"),INDIRECT("'[storico profut.xlsm]Consiglio_Week'!$L:$L")),"")</f>
        <v/>
      </c>
      <c r="AJ32" t="str" cm="1">
        <f t="array" aca="1" ref="AJ32" ca="1">+IFERROR(_xlfn.XLOOKUP($B32,INDIRECT("'[storico profut.xlsm]Consiglio_Week'!$B:$B"),INDIRECT("'[storico profut.xlsm]Consiglio_Week'!$M:$M")),"")</f>
        <v/>
      </c>
      <c r="AK32" t="str" cm="1">
        <f t="array" aca="1" ref="AK32" ca="1">+IFERROR(_xlfn.XLOOKUP($B32,INDIRECT("'[storico profut.xlsm]Consiglio_Week'!$B:$B"),INDIRECT("'[storico profut.xlsm]Consiglio_Week'!$P:$P")),"")</f>
        <v/>
      </c>
      <c r="AL32" s="21" t="str" cm="1">
        <f t="array" aca="1" ref="AL32" ca="1">IFERROR(
  _xlfn.XLOOKUP(
    $B32,
    INDIRECT("'[storico profut.xlsm]Consiglio_Week'!B:B"),
    OFFSET( INDIRECT("'[storico profut.xlsm]Consiglio_Week'!$R:$R"), 0, COLUMNS($A:A)-1 )
  ),
  ""
)</f>
        <v/>
      </c>
      <c r="AM32" s="21" t="str" cm="1">
        <f t="array" aca="1" ref="AM32" ca="1">IFERROR(
  _xlfn.XLOOKUP(
    $B32,
    INDIRECT("'[storico profut.xlsm]Consiglio_Week'!B:B"),
    OFFSET( INDIRECT("'[storico profut.xlsm]Consiglio_Week'!$R:$R"), 0, COLUMNS($A:B)-1 )
  ),
  ""
)</f>
        <v/>
      </c>
      <c r="AN32" s="21" t="str" cm="1">
        <f t="array" aca="1" ref="AN32" ca="1">IFERROR(
  _xlfn.XLOOKUP(
    $B32,
    INDIRECT("'[storico profut.xlsm]Consiglio_Week'!B:B"),
    OFFSET( INDIRECT("'[storico profut.xlsm]Consiglio_Week'!$R:$R"), 0, COLUMNS($A:C)-1 )
  ),
  ""
)</f>
        <v/>
      </c>
      <c r="AO32" s="21" t="str" cm="1">
        <f t="array" aca="1" ref="AO32" ca="1">IFERROR(
  _xlfn.XLOOKUP(
    $B32,
    INDIRECT("'[storico profut.xlsm]Consiglio_Week'!B:B"),
    OFFSET( INDIRECT("'[storico profut.xlsm]Consiglio_Week'!$R:$R"), 0, COLUMNS($A:D)-1 )
  ),
  ""
)</f>
        <v/>
      </c>
      <c r="AP32" s="21" t="str" cm="1">
        <f t="array" aca="1" ref="AP32" ca="1">IFERROR(
  _xlfn.XLOOKUP(
    $B32,
    INDIRECT("'[storico profut.xlsm]Consiglio_Week'!B:B"),
    OFFSET( INDIRECT("'[storico profut.xlsm]Consiglio_Week'!$R:$R"), 0, COLUMNS($A:E)-1 )
  ),
  ""
)</f>
        <v/>
      </c>
      <c r="AQ32" s="22" t="str" cm="1">
        <f t="array" aca="1" ref="AQ32" ca="1">IFERROR(
  _xlfn.XLOOKUP(
    $B32,
    INDIRECT("'[storico profut.xlsm]Consiglio_Week'!B:B"),
    OFFSET( INDIRECT("'[storico profut.xlsm]Consiglio_Week'!$R:$R"), 0, COLUMNS($A:F)-1 )
  ),
  ""
)</f>
        <v/>
      </c>
      <c r="AR32" s="21" t="str" cm="1">
        <f t="array" aca="1" ref="AR32" ca="1">IFERROR(
  _xlfn.XLOOKUP(
    $B32,
    INDIRECT("'[storico profut.xlsm]Consiglio_Week'!B:B"),
    OFFSET( INDIRECT("'[storico profut.xlsm]Consiglio_Week'!$R:$R"), 0, COLUMNS($A:G)-1 )
  ),
  ""
)</f>
        <v/>
      </c>
      <c r="AS32" s="21" t="str" cm="1">
        <f t="array" aca="1" ref="AS32" ca="1">IFERROR(
  _xlfn.XLOOKUP(
    $B32,
    INDIRECT("'[storico profut.xlsm]Consiglio_Week'!B:B"),
    OFFSET( INDIRECT("'[storico profut.xlsm]Consiglio_Week'!$R:$R"), 0, COLUMNS($A:H)-1 )
  ),
  ""
)</f>
        <v/>
      </c>
      <c r="AT32" s="21" t="str" cm="1">
        <f t="array" aca="1" ref="AT32" ca="1">IFERROR(
  _xlfn.XLOOKUP(
    $B32,
    INDIRECT("'[storico profut.xlsm]Consiglio_Week'!B:B"),
    OFFSET( INDIRECT("'[storico profut.xlsm]Consiglio_Week'!$R:$R"), 0, COLUMNS($A:I)-1 )
  ),
  ""
)</f>
        <v/>
      </c>
      <c r="AU32" s="22" t="str" cm="1">
        <f t="array" aca="1" ref="AU32" ca="1">IFERROR(
  _xlfn.XLOOKUP(
    $B32,
    INDIRECT("'[storico profut.xlsm]Consiglio_Week'!B:B"),
    OFFSET( INDIRECT("'[storico profut.xlsm]Consiglio_Week'!$R:$R"), 0, COLUMNS($A:J)-1 )
  ),
  ""
)</f>
        <v/>
      </c>
      <c r="AV32" s="22" t="str" cm="1">
        <f t="array" aca="1" ref="AV32" ca="1">IFERROR(
  _xlfn.XLOOKUP(
    $B32,
    INDIRECT("'[storico profut.xlsm]Consiglio_Week'!B:B"),
    OFFSET( INDIRECT("'[storico profut.xlsm]Consiglio_Week'!$R:$R"), 0, COLUMNS($A:K)-1 )
  ),
  ""
)</f>
        <v/>
      </c>
      <c r="AW32" s="22" t="str" cm="1">
        <f t="array" aca="1" ref="AW32" ca="1">IFERROR(
  _xlfn.XLOOKUP(
    $B32,
    INDIRECT("'[storico profut.xlsm]Consiglio_Week'!B:B"),
    OFFSET( INDIRECT("'[storico profut.xlsm]Consiglio_Week'!$R:$R"), 0, COLUMNS($A:L)-1 )
  ),
  ""
)</f>
        <v/>
      </c>
      <c r="AX32" s="26" t="str" cm="1">
        <f t="array" aca="1" ref="AX32" ca="1">IFERROR(
  _xlfn.XLOOKUP(
    $B32,
    INDIRECT("'[storico profut.xlsm]Consiglio_Week'!B:B"),
    OFFSET( INDIRECT("'[storico profut.xlsm]Consiglio_Week'!$R:$R"), 0, COLUMNS($A:M)-1 )
  ),
  ""
)</f>
        <v/>
      </c>
      <c r="AY32" s="22">
        <v>0</v>
      </c>
    </row>
    <row r="33" spans="1:51">
      <c r="A33" t="s">
        <v>537</v>
      </c>
      <c r="B33" t="s">
        <v>426</v>
      </c>
      <c r="C33">
        <v>21</v>
      </c>
      <c r="D33">
        <v>2</v>
      </c>
      <c r="E33" s="6">
        <v>0.625</v>
      </c>
      <c r="F33" s="6">
        <v>0.875</v>
      </c>
      <c r="G33" s="5"/>
      <c r="H33" s="7"/>
      <c r="Q33" t="s">
        <v>472</v>
      </c>
      <c r="R33">
        <v>1</v>
      </c>
      <c r="S33" t="s">
        <v>573</v>
      </c>
      <c r="AH33" t="str" cm="1">
        <f t="array" aca="1" ref="AH33" ca="1">+IFERROR(_xlfn.XLOOKUP($B33,INDIRECT("'[storico profut.xlsm]Consiglio_Week'!$B:$B"),INDIRECT("'[storico profut.xlsm]Consiglio_Week'!$I:$I")),"")</f>
        <v/>
      </c>
      <c r="AI33" t="str" cm="1">
        <f t="array" aca="1" ref="AI33" ca="1">+IFERROR(_xlfn.XLOOKUP($B33,INDIRECT("'[storico profut.xlsm]Consiglio_Week'!$B:$B"),INDIRECT("'[storico profut.xlsm]Consiglio_Week'!$L:$L")),"")</f>
        <v/>
      </c>
      <c r="AJ33" t="str" cm="1">
        <f t="array" aca="1" ref="AJ33" ca="1">+IFERROR(_xlfn.XLOOKUP($B33,INDIRECT("'[storico profut.xlsm]Consiglio_Week'!$B:$B"),INDIRECT("'[storico profut.xlsm]Consiglio_Week'!$M:$M")),"")</f>
        <v/>
      </c>
      <c r="AK33" t="str" cm="1">
        <f t="array" aca="1" ref="AK33" ca="1">+IFERROR(_xlfn.XLOOKUP($B33,INDIRECT("'[storico profut.xlsm]Consiglio_Week'!$B:$B"),INDIRECT("'[storico profut.xlsm]Consiglio_Week'!$P:$P")),"")</f>
        <v/>
      </c>
      <c r="AL33" s="21" t="str" cm="1">
        <f t="array" aca="1" ref="AL33" ca="1">IFERROR(
  _xlfn.XLOOKUP(
    $B33,
    INDIRECT("'[storico profut.xlsm]Consiglio_Week'!B:B"),
    OFFSET( INDIRECT("'[storico profut.xlsm]Consiglio_Week'!$R:$R"), 0, COLUMNS($A:A)-1 )
  ),
  ""
)</f>
        <v/>
      </c>
      <c r="AM33" s="21" t="str" cm="1">
        <f t="array" aca="1" ref="AM33" ca="1">IFERROR(
  _xlfn.XLOOKUP(
    $B33,
    INDIRECT("'[storico profut.xlsm]Consiglio_Week'!B:B"),
    OFFSET( INDIRECT("'[storico profut.xlsm]Consiglio_Week'!$R:$R"), 0, COLUMNS($A:B)-1 )
  ),
  ""
)</f>
        <v/>
      </c>
      <c r="AN33" s="21" t="str" cm="1">
        <f t="array" aca="1" ref="AN33" ca="1">IFERROR(
  _xlfn.XLOOKUP(
    $B33,
    INDIRECT("'[storico profut.xlsm]Consiglio_Week'!B:B"),
    OFFSET( INDIRECT("'[storico profut.xlsm]Consiglio_Week'!$R:$R"), 0, COLUMNS($A:C)-1 )
  ),
  ""
)</f>
        <v/>
      </c>
      <c r="AO33" s="21" t="str" cm="1">
        <f t="array" aca="1" ref="AO33" ca="1">IFERROR(
  _xlfn.XLOOKUP(
    $B33,
    INDIRECT("'[storico profut.xlsm]Consiglio_Week'!B:B"),
    OFFSET( INDIRECT("'[storico profut.xlsm]Consiglio_Week'!$R:$R"), 0, COLUMNS($A:D)-1 )
  ),
  ""
)</f>
        <v/>
      </c>
      <c r="AP33" s="21" t="str" cm="1">
        <f t="array" aca="1" ref="AP33" ca="1">IFERROR(
  _xlfn.XLOOKUP(
    $B33,
    INDIRECT("'[storico profut.xlsm]Consiglio_Week'!B:B"),
    OFFSET( INDIRECT("'[storico profut.xlsm]Consiglio_Week'!$R:$R"), 0, COLUMNS($A:E)-1 )
  ),
  ""
)</f>
        <v/>
      </c>
      <c r="AQ33" s="22" t="str" cm="1">
        <f t="array" aca="1" ref="AQ33" ca="1">IFERROR(
  _xlfn.XLOOKUP(
    $B33,
    INDIRECT("'[storico profut.xlsm]Consiglio_Week'!B:B"),
    OFFSET( INDIRECT("'[storico profut.xlsm]Consiglio_Week'!$R:$R"), 0, COLUMNS($A:F)-1 )
  ),
  ""
)</f>
        <v/>
      </c>
      <c r="AR33" s="21" t="str" cm="1">
        <f t="array" aca="1" ref="AR33" ca="1">IFERROR(
  _xlfn.XLOOKUP(
    $B33,
    INDIRECT("'[storico profut.xlsm]Consiglio_Week'!B:B"),
    OFFSET( INDIRECT("'[storico profut.xlsm]Consiglio_Week'!$R:$R"), 0, COLUMNS($A:G)-1 )
  ),
  ""
)</f>
        <v/>
      </c>
      <c r="AS33" s="21" t="str" cm="1">
        <f t="array" aca="1" ref="AS33" ca="1">IFERROR(
  _xlfn.XLOOKUP(
    $B33,
    INDIRECT("'[storico profut.xlsm]Consiglio_Week'!B:B"),
    OFFSET( INDIRECT("'[storico profut.xlsm]Consiglio_Week'!$R:$R"), 0, COLUMNS($A:H)-1 )
  ),
  ""
)</f>
        <v/>
      </c>
      <c r="AT33" s="21" t="str" cm="1">
        <f t="array" aca="1" ref="AT33" ca="1">IFERROR(
  _xlfn.XLOOKUP(
    $B33,
    INDIRECT("'[storico profut.xlsm]Consiglio_Week'!B:B"),
    OFFSET( INDIRECT("'[storico profut.xlsm]Consiglio_Week'!$R:$R"), 0, COLUMNS($A:I)-1 )
  ),
  ""
)</f>
        <v/>
      </c>
      <c r="AU33" s="22" t="str" cm="1">
        <f t="array" aca="1" ref="AU33" ca="1">IFERROR(
  _xlfn.XLOOKUP(
    $B33,
    INDIRECT("'[storico profut.xlsm]Consiglio_Week'!B:B"),
    OFFSET( INDIRECT("'[storico profut.xlsm]Consiglio_Week'!$R:$R"), 0, COLUMNS($A:J)-1 )
  ),
  ""
)</f>
        <v/>
      </c>
      <c r="AV33" s="22" t="str" cm="1">
        <f t="array" aca="1" ref="AV33" ca="1">IFERROR(
  _xlfn.XLOOKUP(
    $B33,
    INDIRECT("'[storico profut.xlsm]Consiglio_Week'!B:B"),
    OFFSET( INDIRECT("'[storico profut.xlsm]Consiglio_Week'!$R:$R"), 0, COLUMNS($A:K)-1 )
  ),
  ""
)</f>
        <v/>
      </c>
      <c r="AW33" s="22" t="str" cm="1">
        <f t="array" aca="1" ref="AW33" ca="1">IFERROR(
  _xlfn.XLOOKUP(
    $B33,
    INDIRECT("'[storico profut.xlsm]Consiglio_Week'!B:B"),
    OFFSET( INDIRECT("'[storico profut.xlsm]Consiglio_Week'!$R:$R"), 0, COLUMNS($A:L)-1 )
  ),
  ""
)</f>
        <v/>
      </c>
      <c r="AX33" s="26" t="str" cm="1">
        <f t="array" aca="1" ref="AX33" ca="1">IFERROR(
  _xlfn.XLOOKUP(
    $B33,
    INDIRECT("'[storico profut.xlsm]Consiglio_Week'!B:B"),
    OFFSET( INDIRECT("'[storico profut.xlsm]Consiglio_Week'!$R:$R"), 0, COLUMNS($A:M)-1 )
  ),
  ""
)</f>
        <v/>
      </c>
      <c r="AY33" s="22" t="s">
        <v>629</v>
      </c>
    </row>
    <row r="34" spans="1:51">
      <c r="A34" t="s">
        <v>538</v>
      </c>
      <c r="B34" t="s">
        <v>427</v>
      </c>
      <c r="C34">
        <v>20</v>
      </c>
      <c r="D34">
        <v>2</v>
      </c>
      <c r="E34" s="6">
        <v>0.375</v>
      </c>
      <c r="F34" s="6">
        <v>0.625</v>
      </c>
      <c r="G34" s="5"/>
      <c r="H34" s="5"/>
      <c r="Q34" t="s">
        <v>468</v>
      </c>
      <c r="R34">
        <v>1</v>
      </c>
      <c r="S34" t="s">
        <v>573</v>
      </c>
      <c r="AH34" t="str" cm="1">
        <f t="array" aca="1" ref="AH34" ca="1">+IFERROR(_xlfn.XLOOKUP($B34,INDIRECT("'[storico profut.xlsm]Consiglio_Week'!$B:$B"),INDIRECT("'[storico profut.xlsm]Consiglio_Week'!$I:$I")),"")</f>
        <v/>
      </c>
      <c r="AI34" t="str" cm="1">
        <f t="array" aca="1" ref="AI34" ca="1">+IFERROR(_xlfn.XLOOKUP($B34,INDIRECT("'[storico profut.xlsm]Consiglio_Week'!$B:$B"),INDIRECT("'[storico profut.xlsm]Consiglio_Week'!$L:$L")),"")</f>
        <v/>
      </c>
      <c r="AJ34" t="str" cm="1">
        <f t="array" aca="1" ref="AJ34" ca="1">+IFERROR(_xlfn.XLOOKUP($B34,INDIRECT("'[storico profut.xlsm]Consiglio_Week'!$B:$B"),INDIRECT("'[storico profut.xlsm]Consiglio_Week'!$M:$M")),"")</f>
        <v/>
      </c>
      <c r="AK34" t="str" cm="1">
        <f t="array" aca="1" ref="AK34" ca="1">+IFERROR(_xlfn.XLOOKUP($B34,INDIRECT("'[storico profut.xlsm]Consiglio_Week'!$B:$B"),INDIRECT("'[storico profut.xlsm]Consiglio_Week'!$P:$P")),"")</f>
        <v/>
      </c>
      <c r="AL34" s="21" t="str" cm="1">
        <f t="array" aca="1" ref="AL34" ca="1">IFERROR(
  _xlfn.XLOOKUP(
    $B34,
    INDIRECT("'[storico profut.xlsm]Consiglio_Week'!B:B"),
    OFFSET( INDIRECT("'[storico profut.xlsm]Consiglio_Week'!$R:$R"), 0, COLUMNS($A:A)-1 )
  ),
  ""
)</f>
        <v/>
      </c>
      <c r="AM34" s="21" t="str" cm="1">
        <f t="array" aca="1" ref="AM34" ca="1">IFERROR(
  _xlfn.XLOOKUP(
    $B34,
    INDIRECT("'[storico profut.xlsm]Consiglio_Week'!B:B"),
    OFFSET( INDIRECT("'[storico profut.xlsm]Consiglio_Week'!$R:$R"), 0, COLUMNS($A:B)-1 )
  ),
  ""
)</f>
        <v/>
      </c>
      <c r="AN34" s="21" t="str" cm="1">
        <f t="array" aca="1" ref="AN34" ca="1">IFERROR(
  _xlfn.XLOOKUP(
    $B34,
    INDIRECT("'[storico profut.xlsm]Consiglio_Week'!B:B"),
    OFFSET( INDIRECT("'[storico profut.xlsm]Consiglio_Week'!$R:$R"), 0, COLUMNS($A:C)-1 )
  ),
  ""
)</f>
        <v/>
      </c>
      <c r="AO34" s="21" t="str" cm="1">
        <f t="array" aca="1" ref="AO34" ca="1">IFERROR(
  _xlfn.XLOOKUP(
    $B34,
    INDIRECT("'[storico profut.xlsm]Consiglio_Week'!B:B"),
    OFFSET( INDIRECT("'[storico profut.xlsm]Consiglio_Week'!$R:$R"), 0, COLUMNS($A:D)-1 )
  ),
  ""
)</f>
        <v/>
      </c>
      <c r="AP34" s="21" t="str" cm="1">
        <f t="array" aca="1" ref="AP34" ca="1">IFERROR(
  _xlfn.XLOOKUP(
    $B34,
    INDIRECT("'[storico profut.xlsm]Consiglio_Week'!B:B"),
    OFFSET( INDIRECT("'[storico profut.xlsm]Consiglio_Week'!$R:$R"), 0, COLUMNS($A:E)-1 )
  ),
  ""
)</f>
        <v/>
      </c>
      <c r="AQ34" s="22" t="str" cm="1">
        <f t="array" aca="1" ref="AQ34" ca="1">IFERROR(
  _xlfn.XLOOKUP(
    $B34,
    INDIRECT("'[storico profut.xlsm]Consiglio_Week'!B:B"),
    OFFSET( INDIRECT("'[storico profut.xlsm]Consiglio_Week'!$R:$R"), 0, COLUMNS($A:F)-1 )
  ),
  ""
)</f>
        <v/>
      </c>
      <c r="AR34" s="21" t="str" cm="1">
        <f t="array" aca="1" ref="AR34" ca="1">IFERROR(
  _xlfn.XLOOKUP(
    $B34,
    INDIRECT("'[storico profut.xlsm]Consiglio_Week'!B:B"),
    OFFSET( INDIRECT("'[storico profut.xlsm]Consiglio_Week'!$R:$R"), 0, COLUMNS($A:G)-1 )
  ),
  ""
)</f>
        <v/>
      </c>
      <c r="AS34" s="21" t="str" cm="1">
        <f t="array" aca="1" ref="AS34" ca="1">IFERROR(
  _xlfn.XLOOKUP(
    $B34,
    INDIRECT("'[storico profut.xlsm]Consiglio_Week'!B:B"),
    OFFSET( INDIRECT("'[storico profut.xlsm]Consiglio_Week'!$R:$R"), 0, COLUMNS($A:H)-1 )
  ),
  ""
)</f>
        <v/>
      </c>
      <c r="AT34" s="21" t="str" cm="1">
        <f t="array" aca="1" ref="AT34" ca="1">IFERROR(
  _xlfn.XLOOKUP(
    $B34,
    INDIRECT("'[storico profut.xlsm]Consiglio_Week'!B:B"),
    OFFSET( INDIRECT("'[storico profut.xlsm]Consiglio_Week'!$R:$R"), 0, COLUMNS($A:I)-1 )
  ),
  ""
)</f>
        <v/>
      </c>
      <c r="AU34" s="22" t="str" cm="1">
        <f t="array" aca="1" ref="AU34" ca="1">IFERROR(
  _xlfn.XLOOKUP(
    $B34,
    INDIRECT("'[storico profut.xlsm]Consiglio_Week'!B:B"),
    OFFSET( INDIRECT("'[storico profut.xlsm]Consiglio_Week'!$R:$R"), 0, COLUMNS($A:J)-1 )
  ),
  ""
)</f>
        <v/>
      </c>
      <c r="AV34" s="22" t="str" cm="1">
        <f t="array" aca="1" ref="AV34" ca="1">IFERROR(
  _xlfn.XLOOKUP(
    $B34,
    INDIRECT("'[storico profut.xlsm]Consiglio_Week'!B:B"),
    OFFSET( INDIRECT("'[storico profut.xlsm]Consiglio_Week'!$R:$R"), 0, COLUMNS($A:K)-1 )
  ),
  ""
)</f>
        <v/>
      </c>
      <c r="AW34" s="22" t="str" cm="1">
        <f t="array" aca="1" ref="AW34" ca="1">IFERROR(
  _xlfn.XLOOKUP(
    $B34,
    INDIRECT("'[storico profut.xlsm]Consiglio_Week'!B:B"),
    OFFSET( INDIRECT("'[storico profut.xlsm]Consiglio_Week'!$R:$R"), 0, COLUMNS($A:L)-1 )
  ),
  ""
)</f>
        <v/>
      </c>
      <c r="AX34" s="26" t="str" cm="1">
        <f t="array" aca="1" ref="AX34" ca="1">IFERROR(
  _xlfn.XLOOKUP(
    $B34,
    INDIRECT("'[storico profut.xlsm]Consiglio_Week'!B:B"),
    OFFSET( INDIRECT("'[storico profut.xlsm]Consiglio_Week'!$R:$R"), 0, COLUMNS($A:M)-1 )
  ),
  ""
)</f>
        <v/>
      </c>
      <c r="AY34" s="22">
        <v>0</v>
      </c>
    </row>
    <row r="35" spans="1:51">
      <c r="A35" t="s">
        <v>539</v>
      </c>
      <c r="B35" t="s">
        <v>428</v>
      </c>
      <c r="C35">
        <v>22.5</v>
      </c>
      <c r="D35">
        <v>2</v>
      </c>
      <c r="E35" s="6">
        <v>0.375</v>
      </c>
      <c r="F35" s="6">
        <v>0.625</v>
      </c>
      <c r="G35" s="5"/>
      <c r="H35" s="5" t="s">
        <v>640</v>
      </c>
      <c r="Q35" t="s">
        <v>471</v>
      </c>
      <c r="R35">
        <v>1</v>
      </c>
      <c r="S35" t="s">
        <v>573</v>
      </c>
      <c r="AB35" t="s">
        <v>640</v>
      </c>
      <c r="AC35" t="s">
        <v>640</v>
      </c>
      <c r="AH35" t="str" cm="1">
        <f t="array" aca="1" ref="AH35" ca="1">+IFERROR(_xlfn.XLOOKUP($B35,INDIRECT("'[storico profut.xlsm]Consiglio_Week'!$B:$B"),INDIRECT("'[storico profut.xlsm]Consiglio_Week'!$I:$I")),"")</f>
        <v/>
      </c>
      <c r="AI35" t="str" cm="1">
        <f t="array" aca="1" ref="AI35" ca="1">+IFERROR(_xlfn.XLOOKUP($B35,INDIRECT("'[storico profut.xlsm]Consiglio_Week'!$B:$B"),INDIRECT("'[storico profut.xlsm]Consiglio_Week'!$L:$L")),"")</f>
        <v/>
      </c>
      <c r="AJ35" t="str" cm="1">
        <f t="array" aca="1" ref="AJ35" ca="1">+IFERROR(_xlfn.XLOOKUP($B35,INDIRECT("'[storico profut.xlsm]Consiglio_Week'!$B:$B"),INDIRECT("'[storico profut.xlsm]Consiglio_Week'!$M:$M")),"")</f>
        <v/>
      </c>
      <c r="AK35" t="str" cm="1">
        <f t="array" aca="1" ref="AK35" ca="1">+IFERROR(_xlfn.XLOOKUP($B35,INDIRECT("'[storico profut.xlsm]Consiglio_Week'!$B:$B"),INDIRECT("'[storico profut.xlsm]Consiglio_Week'!$P:$P")),"")</f>
        <v/>
      </c>
      <c r="AL35" s="21" t="str" cm="1">
        <f t="array" aca="1" ref="AL35" ca="1">IFERROR(
  _xlfn.XLOOKUP(
    $B35,
    INDIRECT("'[storico profut.xlsm]Consiglio_Week'!B:B"),
    OFFSET( INDIRECT("'[storico profut.xlsm]Consiglio_Week'!$R:$R"), 0, COLUMNS($A:A)-1 )
  ),
  ""
)</f>
        <v/>
      </c>
      <c r="AM35" s="21" t="str" cm="1">
        <f t="array" aca="1" ref="AM35" ca="1">IFERROR(
  _xlfn.XLOOKUP(
    $B35,
    INDIRECT("'[storico profut.xlsm]Consiglio_Week'!B:B"),
    OFFSET( INDIRECT("'[storico profut.xlsm]Consiglio_Week'!$R:$R"), 0, COLUMNS($A:B)-1 )
  ),
  ""
)</f>
        <v/>
      </c>
      <c r="AN35" s="21" t="str" cm="1">
        <f t="array" aca="1" ref="AN35" ca="1">IFERROR(
  _xlfn.XLOOKUP(
    $B35,
    INDIRECT("'[storico profut.xlsm]Consiglio_Week'!B:B"),
    OFFSET( INDIRECT("'[storico profut.xlsm]Consiglio_Week'!$R:$R"), 0, COLUMNS($A:C)-1 )
  ),
  ""
)</f>
        <v/>
      </c>
      <c r="AO35" s="21" t="str" cm="1">
        <f t="array" aca="1" ref="AO35" ca="1">IFERROR(
  _xlfn.XLOOKUP(
    $B35,
    INDIRECT("'[storico profut.xlsm]Consiglio_Week'!B:B"),
    OFFSET( INDIRECT("'[storico profut.xlsm]Consiglio_Week'!$R:$R"), 0, COLUMNS($A:D)-1 )
  ),
  ""
)</f>
        <v/>
      </c>
      <c r="AP35" s="21" t="str" cm="1">
        <f t="array" aca="1" ref="AP35" ca="1">IFERROR(
  _xlfn.XLOOKUP(
    $B35,
    INDIRECT("'[storico profut.xlsm]Consiglio_Week'!B:B"),
    OFFSET( INDIRECT("'[storico profut.xlsm]Consiglio_Week'!$R:$R"), 0, COLUMNS($A:E)-1 )
  ),
  ""
)</f>
        <v/>
      </c>
      <c r="AQ35" s="22" t="str" cm="1">
        <f t="array" aca="1" ref="AQ35" ca="1">IFERROR(
  _xlfn.XLOOKUP(
    $B35,
    INDIRECT("'[storico profut.xlsm]Consiglio_Week'!B:B"),
    OFFSET( INDIRECT("'[storico profut.xlsm]Consiglio_Week'!$R:$R"), 0, COLUMNS($A:F)-1 )
  ),
  ""
)</f>
        <v/>
      </c>
      <c r="AR35" s="21" t="str" cm="1">
        <f t="array" aca="1" ref="AR35" ca="1">IFERROR(
  _xlfn.XLOOKUP(
    $B35,
    INDIRECT("'[storico profut.xlsm]Consiglio_Week'!B:B"),
    OFFSET( INDIRECT("'[storico profut.xlsm]Consiglio_Week'!$R:$R"), 0, COLUMNS($A:G)-1 )
  ),
  ""
)</f>
        <v/>
      </c>
      <c r="AS35" s="21" t="str" cm="1">
        <f t="array" aca="1" ref="AS35" ca="1">IFERROR(
  _xlfn.XLOOKUP(
    $B35,
    INDIRECT("'[storico profut.xlsm]Consiglio_Week'!B:B"),
    OFFSET( INDIRECT("'[storico profut.xlsm]Consiglio_Week'!$R:$R"), 0, COLUMNS($A:H)-1 )
  ),
  ""
)</f>
        <v/>
      </c>
      <c r="AT35" s="21" t="str" cm="1">
        <f t="array" aca="1" ref="AT35" ca="1">IFERROR(
  _xlfn.XLOOKUP(
    $B35,
    INDIRECT("'[storico profut.xlsm]Consiglio_Week'!B:B"),
    OFFSET( INDIRECT("'[storico profut.xlsm]Consiglio_Week'!$R:$R"), 0, COLUMNS($A:I)-1 )
  ),
  ""
)</f>
        <v/>
      </c>
      <c r="AU35" s="22" t="str" cm="1">
        <f t="array" aca="1" ref="AU35" ca="1">IFERROR(
  _xlfn.XLOOKUP(
    $B35,
    INDIRECT("'[storico profut.xlsm]Consiglio_Week'!B:B"),
    OFFSET( INDIRECT("'[storico profut.xlsm]Consiglio_Week'!$R:$R"), 0, COLUMNS($A:J)-1 )
  ),
  ""
)</f>
        <v/>
      </c>
      <c r="AV35" s="22" t="str" cm="1">
        <f t="array" aca="1" ref="AV35" ca="1">IFERROR(
  _xlfn.XLOOKUP(
    $B35,
    INDIRECT("'[storico profut.xlsm]Consiglio_Week'!B:B"),
    OFFSET( INDIRECT("'[storico profut.xlsm]Consiglio_Week'!$R:$R"), 0, COLUMNS($A:K)-1 )
  ),
  ""
)</f>
        <v/>
      </c>
      <c r="AW35" s="22" t="str" cm="1">
        <f t="array" aca="1" ref="AW35" ca="1">IFERROR(
  _xlfn.XLOOKUP(
    $B35,
    INDIRECT("'[storico profut.xlsm]Consiglio_Week'!B:B"),
    OFFSET( INDIRECT("'[storico profut.xlsm]Consiglio_Week'!$R:$R"), 0, COLUMNS($A:L)-1 )
  ),
  ""
)</f>
        <v/>
      </c>
      <c r="AX35" s="26" t="str" cm="1">
        <f t="array" aca="1" ref="AX35" ca="1">IFERROR(
  _xlfn.XLOOKUP(
    $B35,
    INDIRECT("'[storico profut.xlsm]Consiglio_Week'!B:B"),
    OFFSET( INDIRECT("'[storico profut.xlsm]Consiglio_Week'!$R:$R"), 0, COLUMNS($A:M)-1 )
  ),
  ""
)</f>
        <v/>
      </c>
      <c r="AY35" s="22" t="s">
        <v>630</v>
      </c>
    </row>
    <row r="36" spans="1:51">
      <c r="A36" t="s">
        <v>540</v>
      </c>
      <c r="B36" t="s">
        <v>431</v>
      </c>
      <c r="C36">
        <v>20</v>
      </c>
      <c r="D36">
        <v>2</v>
      </c>
      <c r="E36" s="6">
        <v>0.375</v>
      </c>
      <c r="F36" s="6">
        <v>0.625</v>
      </c>
      <c r="G36" s="5"/>
      <c r="H36" s="5" t="s">
        <v>640</v>
      </c>
      <c r="Q36" t="s">
        <v>468</v>
      </c>
      <c r="R36">
        <v>1</v>
      </c>
      <c r="S36" t="s">
        <v>573</v>
      </c>
      <c r="AH36" t="str" cm="1">
        <f t="array" aca="1" ref="AH36" ca="1">+IFERROR(_xlfn.XLOOKUP($B36,INDIRECT("'[storico profut.xlsm]Consiglio_Week'!$B:$B"),INDIRECT("'[storico profut.xlsm]Consiglio_Week'!$I:$I")),"")</f>
        <v/>
      </c>
      <c r="AI36" t="str" cm="1">
        <f t="array" aca="1" ref="AI36" ca="1">+IFERROR(_xlfn.XLOOKUP($B36,INDIRECT("'[storico profut.xlsm]Consiglio_Week'!$B:$B"),INDIRECT("'[storico profut.xlsm]Consiglio_Week'!$L:$L")),"")</f>
        <v/>
      </c>
      <c r="AJ36" t="str" cm="1">
        <f t="array" aca="1" ref="AJ36" ca="1">+IFERROR(_xlfn.XLOOKUP($B36,INDIRECT("'[storico profut.xlsm]Consiglio_Week'!$B:$B"),INDIRECT("'[storico profut.xlsm]Consiglio_Week'!$M:$M")),"")</f>
        <v/>
      </c>
      <c r="AK36" t="str" cm="1">
        <f t="array" aca="1" ref="AK36" ca="1">+IFERROR(_xlfn.XLOOKUP($B36,INDIRECT("'[storico profut.xlsm]Consiglio_Week'!$B:$B"),INDIRECT("'[storico profut.xlsm]Consiglio_Week'!$P:$P")),"")</f>
        <v/>
      </c>
      <c r="AL36" s="21" t="str" cm="1">
        <f t="array" aca="1" ref="AL36" ca="1">IFERROR(
  _xlfn.XLOOKUP(
    $B36,
    INDIRECT("'[storico profut.xlsm]Consiglio_Week'!B:B"),
    OFFSET( INDIRECT("'[storico profut.xlsm]Consiglio_Week'!$R:$R"), 0, COLUMNS($A:A)-1 )
  ),
  ""
)</f>
        <v/>
      </c>
      <c r="AM36" s="21" t="str" cm="1">
        <f t="array" aca="1" ref="AM36" ca="1">IFERROR(
  _xlfn.XLOOKUP(
    $B36,
    INDIRECT("'[storico profut.xlsm]Consiglio_Week'!B:B"),
    OFFSET( INDIRECT("'[storico profut.xlsm]Consiglio_Week'!$R:$R"), 0, COLUMNS($A:B)-1 )
  ),
  ""
)</f>
        <v/>
      </c>
      <c r="AN36" s="21" t="str" cm="1">
        <f t="array" aca="1" ref="AN36" ca="1">IFERROR(
  _xlfn.XLOOKUP(
    $B36,
    INDIRECT("'[storico profut.xlsm]Consiglio_Week'!B:B"),
    OFFSET( INDIRECT("'[storico profut.xlsm]Consiglio_Week'!$R:$R"), 0, COLUMNS($A:C)-1 )
  ),
  ""
)</f>
        <v/>
      </c>
      <c r="AO36" s="21" t="str" cm="1">
        <f t="array" aca="1" ref="AO36" ca="1">IFERROR(
  _xlfn.XLOOKUP(
    $B36,
    INDIRECT("'[storico profut.xlsm]Consiglio_Week'!B:B"),
    OFFSET( INDIRECT("'[storico profut.xlsm]Consiglio_Week'!$R:$R"), 0, COLUMNS($A:D)-1 )
  ),
  ""
)</f>
        <v/>
      </c>
      <c r="AP36" s="21" t="str" cm="1">
        <f t="array" aca="1" ref="AP36" ca="1">IFERROR(
  _xlfn.XLOOKUP(
    $B36,
    INDIRECT("'[storico profut.xlsm]Consiglio_Week'!B:B"),
    OFFSET( INDIRECT("'[storico profut.xlsm]Consiglio_Week'!$R:$R"), 0, COLUMNS($A:E)-1 )
  ),
  ""
)</f>
        <v/>
      </c>
      <c r="AQ36" s="22" t="str" cm="1">
        <f t="array" aca="1" ref="AQ36" ca="1">IFERROR(
  _xlfn.XLOOKUP(
    $B36,
    INDIRECT("'[storico profut.xlsm]Consiglio_Week'!B:B"),
    OFFSET( INDIRECT("'[storico profut.xlsm]Consiglio_Week'!$R:$R"), 0, COLUMNS($A:F)-1 )
  ),
  ""
)</f>
        <v/>
      </c>
      <c r="AR36" s="21" t="str" cm="1">
        <f t="array" aca="1" ref="AR36" ca="1">IFERROR(
  _xlfn.XLOOKUP(
    $B36,
    INDIRECT("'[storico profut.xlsm]Consiglio_Week'!B:B"),
    OFFSET( INDIRECT("'[storico profut.xlsm]Consiglio_Week'!$R:$R"), 0, COLUMNS($A:G)-1 )
  ),
  ""
)</f>
        <v/>
      </c>
      <c r="AS36" s="21" t="str" cm="1">
        <f t="array" aca="1" ref="AS36" ca="1">IFERROR(
  _xlfn.XLOOKUP(
    $B36,
    INDIRECT("'[storico profut.xlsm]Consiglio_Week'!B:B"),
    OFFSET( INDIRECT("'[storico profut.xlsm]Consiglio_Week'!$R:$R"), 0, COLUMNS($A:H)-1 )
  ),
  ""
)</f>
        <v/>
      </c>
      <c r="AT36" s="21" t="str" cm="1">
        <f t="array" aca="1" ref="AT36" ca="1">IFERROR(
  _xlfn.XLOOKUP(
    $B36,
    INDIRECT("'[storico profut.xlsm]Consiglio_Week'!B:B"),
    OFFSET( INDIRECT("'[storico profut.xlsm]Consiglio_Week'!$R:$R"), 0, COLUMNS($A:I)-1 )
  ),
  ""
)</f>
        <v/>
      </c>
      <c r="AU36" s="22" t="str" cm="1">
        <f t="array" aca="1" ref="AU36" ca="1">IFERROR(
  _xlfn.XLOOKUP(
    $B36,
    INDIRECT("'[storico profut.xlsm]Consiglio_Week'!B:B"),
    OFFSET( INDIRECT("'[storico profut.xlsm]Consiglio_Week'!$R:$R"), 0, COLUMNS($A:J)-1 )
  ),
  ""
)</f>
        <v/>
      </c>
      <c r="AV36" s="22" t="str" cm="1">
        <f t="array" aca="1" ref="AV36" ca="1">IFERROR(
  _xlfn.XLOOKUP(
    $B36,
    INDIRECT("'[storico profut.xlsm]Consiglio_Week'!B:B"),
    OFFSET( INDIRECT("'[storico profut.xlsm]Consiglio_Week'!$R:$R"), 0, COLUMNS($A:K)-1 )
  ),
  ""
)</f>
        <v/>
      </c>
      <c r="AW36" s="22" t="str" cm="1">
        <f t="array" aca="1" ref="AW36" ca="1">IFERROR(
  _xlfn.XLOOKUP(
    $B36,
    INDIRECT("'[storico profut.xlsm]Consiglio_Week'!B:B"),
    OFFSET( INDIRECT("'[storico profut.xlsm]Consiglio_Week'!$R:$R"), 0, COLUMNS($A:L)-1 )
  ),
  ""
)</f>
        <v/>
      </c>
      <c r="AX36" s="26" t="str" cm="1">
        <f t="array" aca="1" ref="AX36" ca="1">IFERROR(
  _xlfn.XLOOKUP(
    $B36,
    INDIRECT("'[storico profut.xlsm]Consiglio_Week'!B:B"),
    OFFSET( INDIRECT("'[storico profut.xlsm]Consiglio_Week'!$R:$R"), 0, COLUMNS($A:M)-1 )
  ),
  ""
)</f>
        <v/>
      </c>
      <c r="AY36" s="22">
        <v>0</v>
      </c>
    </row>
    <row r="37" spans="1:51">
      <c r="A37" t="s">
        <v>541</v>
      </c>
      <c r="B37" t="s">
        <v>432</v>
      </c>
      <c r="C37">
        <v>20</v>
      </c>
      <c r="D37">
        <v>2</v>
      </c>
      <c r="E37" s="6">
        <v>0.375</v>
      </c>
      <c r="F37" s="6">
        <v>0.625</v>
      </c>
      <c r="G37" s="5"/>
      <c r="H37" s="5" t="s">
        <v>640</v>
      </c>
      <c r="Q37" t="s">
        <v>468</v>
      </c>
      <c r="R37">
        <v>1</v>
      </c>
      <c r="S37" t="s">
        <v>573</v>
      </c>
      <c r="AH37" t="str" cm="1">
        <f t="array" aca="1" ref="AH37" ca="1">+IFERROR(_xlfn.XLOOKUP($B37,INDIRECT("'[storico profut.xlsm]Consiglio_Week'!$B:$B"),INDIRECT("'[storico profut.xlsm]Consiglio_Week'!$I:$I")),"")</f>
        <v/>
      </c>
      <c r="AI37" t="str" cm="1">
        <f t="array" aca="1" ref="AI37" ca="1">+IFERROR(_xlfn.XLOOKUP($B37,INDIRECT("'[storico profut.xlsm]Consiglio_Week'!$B:$B"),INDIRECT("'[storico profut.xlsm]Consiglio_Week'!$L:$L")),"")</f>
        <v/>
      </c>
      <c r="AJ37" t="str" cm="1">
        <f t="array" aca="1" ref="AJ37" ca="1">+IFERROR(_xlfn.XLOOKUP($B37,INDIRECT("'[storico profut.xlsm]Consiglio_Week'!$B:$B"),INDIRECT("'[storico profut.xlsm]Consiglio_Week'!$M:$M")),"")</f>
        <v/>
      </c>
      <c r="AK37" t="str" cm="1">
        <f t="array" aca="1" ref="AK37" ca="1">+IFERROR(_xlfn.XLOOKUP($B37,INDIRECT("'[storico profut.xlsm]Consiglio_Week'!$B:$B"),INDIRECT("'[storico profut.xlsm]Consiglio_Week'!$P:$P")),"")</f>
        <v/>
      </c>
      <c r="AL37" s="21" t="str" cm="1">
        <f t="array" aca="1" ref="AL37" ca="1">IFERROR(
  _xlfn.XLOOKUP(
    $B37,
    INDIRECT("'[storico profut.xlsm]Consiglio_Week'!B:B"),
    OFFSET( INDIRECT("'[storico profut.xlsm]Consiglio_Week'!$R:$R"), 0, COLUMNS($A:A)-1 )
  ),
  ""
)</f>
        <v/>
      </c>
      <c r="AM37" s="21" t="str" cm="1">
        <f t="array" aca="1" ref="AM37" ca="1">IFERROR(
  _xlfn.XLOOKUP(
    $B37,
    INDIRECT("'[storico profut.xlsm]Consiglio_Week'!B:B"),
    OFFSET( INDIRECT("'[storico profut.xlsm]Consiglio_Week'!$R:$R"), 0, COLUMNS($A:B)-1 )
  ),
  ""
)</f>
        <v/>
      </c>
      <c r="AN37" s="21" t="str" cm="1">
        <f t="array" aca="1" ref="AN37" ca="1">IFERROR(
  _xlfn.XLOOKUP(
    $B37,
    INDIRECT("'[storico profut.xlsm]Consiglio_Week'!B:B"),
    OFFSET( INDIRECT("'[storico profut.xlsm]Consiglio_Week'!$R:$R"), 0, COLUMNS($A:C)-1 )
  ),
  ""
)</f>
        <v/>
      </c>
      <c r="AO37" s="21" t="str" cm="1">
        <f t="array" aca="1" ref="AO37" ca="1">IFERROR(
  _xlfn.XLOOKUP(
    $B37,
    INDIRECT("'[storico profut.xlsm]Consiglio_Week'!B:B"),
    OFFSET( INDIRECT("'[storico profut.xlsm]Consiglio_Week'!$R:$R"), 0, COLUMNS($A:D)-1 )
  ),
  ""
)</f>
        <v/>
      </c>
      <c r="AP37" s="21" t="str" cm="1">
        <f t="array" aca="1" ref="AP37" ca="1">IFERROR(
  _xlfn.XLOOKUP(
    $B37,
    INDIRECT("'[storico profut.xlsm]Consiglio_Week'!B:B"),
    OFFSET( INDIRECT("'[storico profut.xlsm]Consiglio_Week'!$R:$R"), 0, COLUMNS($A:E)-1 )
  ),
  ""
)</f>
        <v/>
      </c>
      <c r="AQ37" s="22" t="str" cm="1">
        <f t="array" aca="1" ref="AQ37" ca="1">IFERROR(
  _xlfn.XLOOKUP(
    $B37,
    INDIRECT("'[storico profut.xlsm]Consiglio_Week'!B:B"),
    OFFSET( INDIRECT("'[storico profut.xlsm]Consiglio_Week'!$R:$R"), 0, COLUMNS($A:F)-1 )
  ),
  ""
)</f>
        <v/>
      </c>
      <c r="AR37" s="21" t="str" cm="1">
        <f t="array" aca="1" ref="AR37" ca="1">IFERROR(
  _xlfn.XLOOKUP(
    $B37,
    INDIRECT("'[storico profut.xlsm]Consiglio_Week'!B:B"),
    OFFSET( INDIRECT("'[storico profut.xlsm]Consiglio_Week'!$R:$R"), 0, COLUMNS($A:G)-1 )
  ),
  ""
)</f>
        <v/>
      </c>
      <c r="AS37" s="21" t="str" cm="1">
        <f t="array" aca="1" ref="AS37" ca="1">IFERROR(
  _xlfn.XLOOKUP(
    $B37,
    INDIRECT("'[storico profut.xlsm]Consiglio_Week'!B:B"),
    OFFSET( INDIRECT("'[storico profut.xlsm]Consiglio_Week'!$R:$R"), 0, COLUMNS($A:H)-1 )
  ),
  ""
)</f>
        <v/>
      </c>
      <c r="AT37" s="21" t="str" cm="1">
        <f t="array" aca="1" ref="AT37" ca="1">IFERROR(
  _xlfn.XLOOKUP(
    $B37,
    INDIRECT("'[storico profut.xlsm]Consiglio_Week'!B:B"),
    OFFSET( INDIRECT("'[storico profut.xlsm]Consiglio_Week'!$R:$R"), 0, COLUMNS($A:I)-1 )
  ),
  ""
)</f>
        <v/>
      </c>
      <c r="AU37" s="22" t="str" cm="1">
        <f t="array" aca="1" ref="AU37" ca="1">IFERROR(
  _xlfn.XLOOKUP(
    $B37,
    INDIRECT("'[storico profut.xlsm]Consiglio_Week'!B:B"),
    OFFSET( INDIRECT("'[storico profut.xlsm]Consiglio_Week'!$R:$R"), 0, COLUMNS($A:J)-1 )
  ),
  ""
)</f>
        <v/>
      </c>
      <c r="AV37" s="22" t="str" cm="1">
        <f t="array" aca="1" ref="AV37" ca="1">IFERROR(
  _xlfn.XLOOKUP(
    $B37,
    INDIRECT("'[storico profut.xlsm]Consiglio_Week'!B:B"),
    OFFSET( INDIRECT("'[storico profut.xlsm]Consiglio_Week'!$R:$R"), 0, COLUMNS($A:K)-1 )
  ),
  ""
)</f>
        <v/>
      </c>
      <c r="AW37" s="22" t="str" cm="1">
        <f t="array" aca="1" ref="AW37" ca="1">IFERROR(
  _xlfn.XLOOKUP(
    $B37,
    INDIRECT("'[storico profut.xlsm]Consiglio_Week'!B:B"),
    OFFSET( INDIRECT("'[storico profut.xlsm]Consiglio_Week'!$R:$R"), 0, COLUMNS($A:L)-1 )
  ),
  ""
)</f>
        <v/>
      </c>
      <c r="AX37" s="26" t="str" cm="1">
        <f t="array" aca="1" ref="AX37" ca="1">IFERROR(
  _xlfn.XLOOKUP(
    $B37,
    INDIRECT("'[storico profut.xlsm]Consiglio_Week'!B:B"),
    OFFSET( INDIRECT("'[storico profut.xlsm]Consiglio_Week'!$R:$R"), 0, COLUMNS($A:M)-1 )
  ),
  ""
)</f>
        <v/>
      </c>
      <c r="AY37" s="22">
        <v>0</v>
      </c>
    </row>
    <row r="38" spans="1:51">
      <c r="A38" t="s">
        <v>542</v>
      </c>
      <c r="B38" t="s">
        <v>433</v>
      </c>
      <c r="C38">
        <v>20</v>
      </c>
      <c r="D38">
        <v>2</v>
      </c>
      <c r="E38" s="6">
        <v>0.375</v>
      </c>
      <c r="F38" s="6">
        <v>0.625</v>
      </c>
      <c r="G38" s="5"/>
      <c r="H38" s="5" t="s">
        <v>640</v>
      </c>
      <c r="Q38" t="s">
        <v>468</v>
      </c>
      <c r="R38">
        <v>1</v>
      </c>
      <c r="S38" t="s">
        <v>573</v>
      </c>
      <c r="AH38" t="str" cm="1">
        <f t="array" aca="1" ref="AH38" ca="1">+IFERROR(_xlfn.XLOOKUP($B38,INDIRECT("'[storico profut.xlsm]Consiglio_Week'!$B:$B"),INDIRECT("'[storico profut.xlsm]Consiglio_Week'!$I:$I")),"")</f>
        <v/>
      </c>
      <c r="AI38" t="str" cm="1">
        <f t="array" aca="1" ref="AI38" ca="1">+IFERROR(_xlfn.XLOOKUP($B38,INDIRECT("'[storico profut.xlsm]Consiglio_Week'!$B:$B"),INDIRECT("'[storico profut.xlsm]Consiglio_Week'!$L:$L")),"")</f>
        <v/>
      </c>
      <c r="AJ38" t="str" cm="1">
        <f t="array" aca="1" ref="AJ38" ca="1">+IFERROR(_xlfn.XLOOKUP($B38,INDIRECT("'[storico profut.xlsm]Consiglio_Week'!$B:$B"),INDIRECT("'[storico profut.xlsm]Consiglio_Week'!$M:$M")),"")</f>
        <v/>
      </c>
      <c r="AK38" t="str" cm="1">
        <f t="array" aca="1" ref="AK38" ca="1">+IFERROR(_xlfn.XLOOKUP($B38,INDIRECT("'[storico profut.xlsm]Consiglio_Week'!$B:$B"),INDIRECT("'[storico profut.xlsm]Consiglio_Week'!$P:$P")),"")</f>
        <v/>
      </c>
      <c r="AL38" s="21" t="str" cm="1">
        <f t="array" aca="1" ref="AL38" ca="1">IFERROR(
  _xlfn.XLOOKUP(
    $B38,
    INDIRECT("'[storico profut.xlsm]Consiglio_Week'!B:B"),
    OFFSET( INDIRECT("'[storico profut.xlsm]Consiglio_Week'!$R:$R"), 0, COLUMNS($A:A)-1 )
  ),
  ""
)</f>
        <v/>
      </c>
      <c r="AM38" s="21" t="str" cm="1">
        <f t="array" aca="1" ref="AM38" ca="1">IFERROR(
  _xlfn.XLOOKUP(
    $B38,
    INDIRECT("'[storico profut.xlsm]Consiglio_Week'!B:B"),
    OFFSET( INDIRECT("'[storico profut.xlsm]Consiglio_Week'!$R:$R"), 0, COLUMNS($A:B)-1 )
  ),
  ""
)</f>
        <v/>
      </c>
      <c r="AN38" s="21" t="str" cm="1">
        <f t="array" aca="1" ref="AN38" ca="1">IFERROR(
  _xlfn.XLOOKUP(
    $B38,
    INDIRECT("'[storico profut.xlsm]Consiglio_Week'!B:B"),
    OFFSET( INDIRECT("'[storico profut.xlsm]Consiglio_Week'!$R:$R"), 0, COLUMNS($A:C)-1 )
  ),
  ""
)</f>
        <v/>
      </c>
      <c r="AO38" s="21" t="str" cm="1">
        <f t="array" aca="1" ref="AO38" ca="1">IFERROR(
  _xlfn.XLOOKUP(
    $B38,
    INDIRECT("'[storico profut.xlsm]Consiglio_Week'!B:B"),
    OFFSET( INDIRECT("'[storico profut.xlsm]Consiglio_Week'!$R:$R"), 0, COLUMNS($A:D)-1 )
  ),
  ""
)</f>
        <v/>
      </c>
      <c r="AP38" s="21" t="str" cm="1">
        <f t="array" aca="1" ref="AP38" ca="1">IFERROR(
  _xlfn.XLOOKUP(
    $B38,
    INDIRECT("'[storico profut.xlsm]Consiglio_Week'!B:B"),
    OFFSET( INDIRECT("'[storico profut.xlsm]Consiglio_Week'!$R:$R"), 0, COLUMNS($A:E)-1 )
  ),
  ""
)</f>
        <v/>
      </c>
      <c r="AQ38" s="22" t="str" cm="1">
        <f t="array" aca="1" ref="AQ38" ca="1">IFERROR(
  _xlfn.XLOOKUP(
    $B38,
    INDIRECT("'[storico profut.xlsm]Consiglio_Week'!B:B"),
    OFFSET( INDIRECT("'[storico profut.xlsm]Consiglio_Week'!$R:$R"), 0, COLUMNS($A:F)-1 )
  ),
  ""
)</f>
        <v/>
      </c>
      <c r="AR38" s="21" t="str" cm="1">
        <f t="array" aca="1" ref="AR38" ca="1">IFERROR(
  _xlfn.XLOOKUP(
    $B38,
    INDIRECT("'[storico profut.xlsm]Consiglio_Week'!B:B"),
    OFFSET( INDIRECT("'[storico profut.xlsm]Consiglio_Week'!$R:$R"), 0, COLUMNS($A:G)-1 )
  ),
  ""
)</f>
        <v/>
      </c>
      <c r="AS38" s="21" t="str" cm="1">
        <f t="array" aca="1" ref="AS38" ca="1">IFERROR(
  _xlfn.XLOOKUP(
    $B38,
    INDIRECT("'[storico profut.xlsm]Consiglio_Week'!B:B"),
    OFFSET( INDIRECT("'[storico profut.xlsm]Consiglio_Week'!$R:$R"), 0, COLUMNS($A:H)-1 )
  ),
  ""
)</f>
        <v/>
      </c>
      <c r="AT38" s="21" t="str" cm="1">
        <f t="array" aca="1" ref="AT38" ca="1">IFERROR(
  _xlfn.XLOOKUP(
    $B38,
    INDIRECT("'[storico profut.xlsm]Consiglio_Week'!B:B"),
    OFFSET( INDIRECT("'[storico profut.xlsm]Consiglio_Week'!$R:$R"), 0, COLUMNS($A:I)-1 )
  ),
  ""
)</f>
        <v/>
      </c>
      <c r="AU38" s="22" t="str" cm="1">
        <f t="array" aca="1" ref="AU38" ca="1">IFERROR(
  _xlfn.XLOOKUP(
    $B38,
    INDIRECT("'[storico profut.xlsm]Consiglio_Week'!B:B"),
    OFFSET( INDIRECT("'[storico profut.xlsm]Consiglio_Week'!$R:$R"), 0, COLUMNS($A:J)-1 )
  ),
  ""
)</f>
        <v/>
      </c>
      <c r="AV38" s="22" t="str" cm="1">
        <f t="array" aca="1" ref="AV38" ca="1">IFERROR(
  _xlfn.XLOOKUP(
    $B38,
    INDIRECT("'[storico profut.xlsm]Consiglio_Week'!B:B"),
    OFFSET( INDIRECT("'[storico profut.xlsm]Consiglio_Week'!$R:$R"), 0, COLUMNS($A:K)-1 )
  ),
  ""
)</f>
        <v/>
      </c>
      <c r="AW38" s="22" t="str" cm="1">
        <f t="array" aca="1" ref="AW38" ca="1">IFERROR(
  _xlfn.XLOOKUP(
    $B38,
    INDIRECT("'[storico profut.xlsm]Consiglio_Week'!B:B"),
    OFFSET( INDIRECT("'[storico profut.xlsm]Consiglio_Week'!$R:$R"), 0, COLUMNS($A:L)-1 )
  ),
  ""
)</f>
        <v/>
      </c>
      <c r="AX38" s="26" t="str" cm="1">
        <f t="array" aca="1" ref="AX38" ca="1">IFERROR(
  _xlfn.XLOOKUP(
    $B38,
    INDIRECT("'[storico profut.xlsm]Consiglio_Week'!B:B"),
    OFFSET( INDIRECT("'[storico profut.xlsm]Consiglio_Week'!$R:$R"), 0, COLUMNS($A:M)-1 )
  ),
  ""
)</f>
        <v/>
      </c>
      <c r="AY38" s="22">
        <v>0</v>
      </c>
    </row>
    <row r="39" spans="1:51">
      <c r="A39" t="s">
        <v>543</v>
      </c>
      <c r="B39" t="s">
        <v>434</v>
      </c>
      <c r="C39">
        <v>20</v>
      </c>
      <c r="D39">
        <v>2</v>
      </c>
      <c r="E39" s="16">
        <v>0.375</v>
      </c>
      <c r="F39" s="16">
        <v>0.54166666666666663</v>
      </c>
      <c r="G39" s="7"/>
      <c r="H39" s="5"/>
      <c r="Q39" t="s">
        <v>468</v>
      </c>
      <c r="R39">
        <v>0</v>
      </c>
      <c r="S39" t="s">
        <v>573</v>
      </c>
      <c r="AH39" t="str" cm="1">
        <f t="array" aca="1" ref="AH39" ca="1">+IFERROR(_xlfn.XLOOKUP($B39,INDIRECT("'[storico profut.xlsm]Consiglio_Week'!$B:$B"),INDIRECT("'[storico profut.xlsm]Consiglio_Week'!$I:$I")),"")</f>
        <v/>
      </c>
      <c r="AI39" t="str" cm="1">
        <f t="array" aca="1" ref="AI39" ca="1">+IFERROR(_xlfn.XLOOKUP($B39,INDIRECT("'[storico profut.xlsm]Consiglio_Week'!$B:$B"),INDIRECT("'[storico profut.xlsm]Consiglio_Week'!$L:$L")),"")</f>
        <v/>
      </c>
      <c r="AJ39" t="str" cm="1">
        <f t="array" aca="1" ref="AJ39" ca="1">+IFERROR(_xlfn.XLOOKUP($B39,INDIRECT("'[storico profut.xlsm]Consiglio_Week'!$B:$B"),INDIRECT("'[storico profut.xlsm]Consiglio_Week'!$M:$M")),"")</f>
        <v/>
      </c>
      <c r="AK39" t="str" cm="1">
        <f t="array" aca="1" ref="AK39" ca="1">+IFERROR(_xlfn.XLOOKUP($B39,INDIRECT("'[storico profut.xlsm]Consiglio_Week'!$B:$B"),INDIRECT("'[storico profut.xlsm]Consiglio_Week'!$P:$P")),"")</f>
        <v/>
      </c>
      <c r="AL39" s="21" t="str" cm="1">
        <f t="array" aca="1" ref="AL39" ca="1">IFERROR(
  _xlfn.XLOOKUP(
    $B39,
    INDIRECT("'[storico profut.xlsm]Consiglio_Week'!B:B"),
    OFFSET( INDIRECT("'[storico profut.xlsm]Consiglio_Week'!$R:$R"), 0, COLUMNS($A:A)-1 )
  ),
  ""
)</f>
        <v/>
      </c>
      <c r="AM39" s="21" t="str" cm="1">
        <f t="array" aca="1" ref="AM39" ca="1">IFERROR(
  _xlfn.XLOOKUP(
    $B39,
    INDIRECT("'[storico profut.xlsm]Consiglio_Week'!B:B"),
    OFFSET( INDIRECT("'[storico profut.xlsm]Consiglio_Week'!$R:$R"), 0, COLUMNS($A:B)-1 )
  ),
  ""
)</f>
        <v/>
      </c>
      <c r="AN39" s="21" t="str" cm="1">
        <f t="array" aca="1" ref="AN39" ca="1">IFERROR(
  _xlfn.XLOOKUP(
    $B39,
    INDIRECT("'[storico profut.xlsm]Consiglio_Week'!B:B"),
    OFFSET( INDIRECT("'[storico profut.xlsm]Consiglio_Week'!$R:$R"), 0, COLUMNS($A:C)-1 )
  ),
  ""
)</f>
        <v/>
      </c>
      <c r="AO39" s="21" t="str" cm="1">
        <f t="array" aca="1" ref="AO39" ca="1">IFERROR(
  _xlfn.XLOOKUP(
    $B39,
    INDIRECT("'[storico profut.xlsm]Consiglio_Week'!B:B"),
    OFFSET( INDIRECT("'[storico profut.xlsm]Consiglio_Week'!$R:$R"), 0, COLUMNS($A:D)-1 )
  ),
  ""
)</f>
        <v/>
      </c>
      <c r="AP39" s="21" t="str" cm="1">
        <f t="array" aca="1" ref="AP39" ca="1">IFERROR(
  _xlfn.XLOOKUP(
    $B39,
    INDIRECT("'[storico profut.xlsm]Consiglio_Week'!B:B"),
    OFFSET( INDIRECT("'[storico profut.xlsm]Consiglio_Week'!$R:$R"), 0, COLUMNS($A:E)-1 )
  ),
  ""
)</f>
        <v/>
      </c>
      <c r="AQ39" s="22" t="str" cm="1">
        <f t="array" aca="1" ref="AQ39" ca="1">IFERROR(
  _xlfn.XLOOKUP(
    $B39,
    INDIRECT("'[storico profut.xlsm]Consiglio_Week'!B:B"),
    OFFSET( INDIRECT("'[storico profut.xlsm]Consiglio_Week'!$R:$R"), 0, COLUMNS($A:F)-1 )
  ),
  ""
)</f>
        <v/>
      </c>
      <c r="AR39" s="21" t="str" cm="1">
        <f t="array" aca="1" ref="AR39" ca="1">IFERROR(
  _xlfn.XLOOKUP(
    $B39,
    INDIRECT("'[storico profut.xlsm]Consiglio_Week'!B:B"),
    OFFSET( INDIRECT("'[storico profut.xlsm]Consiglio_Week'!$R:$R"), 0, COLUMNS($A:G)-1 )
  ),
  ""
)</f>
        <v/>
      </c>
      <c r="AS39" s="21" t="str" cm="1">
        <f t="array" aca="1" ref="AS39" ca="1">IFERROR(
  _xlfn.XLOOKUP(
    $B39,
    INDIRECT("'[storico profut.xlsm]Consiglio_Week'!B:B"),
    OFFSET( INDIRECT("'[storico profut.xlsm]Consiglio_Week'!$R:$R"), 0, COLUMNS($A:H)-1 )
  ),
  ""
)</f>
        <v/>
      </c>
      <c r="AT39" s="21" t="str" cm="1">
        <f t="array" aca="1" ref="AT39" ca="1">IFERROR(
  _xlfn.XLOOKUP(
    $B39,
    INDIRECT("'[storico profut.xlsm]Consiglio_Week'!B:B"),
    OFFSET( INDIRECT("'[storico profut.xlsm]Consiglio_Week'!$R:$R"), 0, COLUMNS($A:I)-1 )
  ),
  ""
)</f>
        <v/>
      </c>
      <c r="AU39" s="22" t="str" cm="1">
        <f t="array" aca="1" ref="AU39" ca="1">IFERROR(
  _xlfn.XLOOKUP(
    $B39,
    INDIRECT("'[storico profut.xlsm]Consiglio_Week'!B:B"),
    OFFSET( INDIRECT("'[storico profut.xlsm]Consiglio_Week'!$R:$R"), 0, COLUMNS($A:J)-1 )
  ),
  ""
)</f>
        <v/>
      </c>
      <c r="AV39" s="22" t="str" cm="1">
        <f t="array" aca="1" ref="AV39" ca="1">IFERROR(
  _xlfn.XLOOKUP(
    $B39,
    INDIRECT("'[storico profut.xlsm]Consiglio_Week'!B:B"),
    OFFSET( INDIRECT("'[storico profut.xlsm]Consiglio_Week'!$R:$R"), 0, COLUMNS($A:K)-1 )
  ),
  ""
)</f>
        <v/>
      </c>
      <c r="AW39" s="22" t="str" cm="1">
        <f t="array" aca="1" ref="AW39" ca="1">IFERROR(
  _xlfn.XLOOKUP(
    $B39,
    INDIRECT("'[storico profut.xlsm]Consiglio_Week'!B:B"),
    OFFSET( INDIRECT("'[storico profut.xlsm]Consiglio_Week'!$R:$R"), 0, COLUMNS($A:L)-1 )
  ),
  ""
)</f>
        <v/>
      </c>
      <c r="AX39" s="26" t="str" cm="1">
        <f t="array" aca="1" ref="AX39" ca="1">IFERROR(
  _xlfn.XLOOKUP(
    $B39,
    INDIRECT("'[storico profut.xlsm]Consiglio_Week'!B:B"),
    OFFSET( INDIRECT("'[storico profut.xlsm]Consiglio_Week'!$R:$R"), 0, COLUMNS($A:M)-1 )
  ),
  ""
)</f>
        <v/>
      </c>
      <c r="AY39" s="22" t="s">
        <v>631</v>
      </c>
    </row>
    <row r="40" spans="1:51">
      <c r="A40" t="s">
        <v>544</v>
      </c>
      <c r="B40" t="s">
        <v>458</v>
      </c>
      <c r="C40">
        <v>20</v>
      </c>
      <c r="D40">
        <v>2</v>
      </c>
      <c r="E40" s="6">
        <v>0.625</v>
      </c>
      <c r="F40" s="6">
        <v>0.875</v>
      </c>
      <c r="H40" t="s">
        <v>640</v>
      </c>
      <c r="Q40" t="s">
        <v>468</v>
      </c>
      <c r="R40">
        <v>1</v>
      </c>
      <c r="S40" t="s">
        <v>573</v>
      </c>
      <c r="AH40" t="str" cm="1">
        <f t="array" aca="1" ref="AH40" ca="1">+IFERROR(_xlfn.XLOOKUP($B40,INDIRECT("'[storico profut.xlsm]Consiglio_Week'!$B:$B"),INDIRECT("'[storico profut.xlsm]Consiglio_Week'!$I:$I")),"")</f>
        <v/>
      </c>
      <c r="AI40" t="str" cm="1">
        <f t="array" aca="1" ref="AI40" ca="1">+IFERROR(_xlfn.XLOOKUP($B40,INDIRECT("'[storico profut.xlsm]Consiglio_Week'!$B:$B"),INDIRECT("'[storico profut.xlsm]Consiglio_Week'!$L:$L")),"")</f>
        <v/>
      </c>
      <c r="AJ40" t="str" cm="1">
        <f t="array" aca="1" ref="AJ40" ca="1">+IFERROR(_xlfn.XLOOKUP($B40,INDIRECT("'[storico profut.xlsm]Consiglio_Week'!$B:$B"),INDIRECT("'[storico profut.xlsm]Consiglio_Week'!$M:$M")),"")</f>
        <v/>
      </c>
      <c r="AK40" t="str" cm="1">
        <f t="array" aca="1" ref="AK40" ca="1">+IFERROR(_xlfn.XLOOKUP($B40,INDIRECT("'[storico profut.xlsm]Consiglio_Week'!$B:$B"),INDIRECT("'[storico profut.xlsm]Consiglio_Week'!$P:$P")),"")</f>
        <v/>
      </c>
      <c r="AL40" s="21" t="str" cm="1">
        <f t="array" aca="1" ref="AL40" ca="1">IFERROR(
  _xlfn.XLOOKUP(
    $B40,
    INDIRECT("'[storico profut.xlsm]Consiglio_Week'!B:B"),
    OFFSET( INDIRECT("'[storico profut.xlsm]Consiglio_Week'!$R:$R"), 0, COLUMNS($A:A)-1 )
  ),
  ""
)</f>
        <v/>
      </c>
      <c r="AM40" s="21" t="str" cm="1">
        <f t="array" aca="1" ref="AM40" ca="1">IFERROR(
  _xlfn.XLOOKUP(
    $B40,
    INDIRECT("'[storico profut.xlsm]Consiglio_Week'!B:B"),
    OFFSET( INDIRECT("'[storico profut.xlsm]Consiglio_Week'!$R:$R"), 0, COLUMNS($A:B)-1 )
  ),
  ""
)</f>
        <v/>
      </c>
      <c r="AN40" s="21" t="str" cm="1">
        <f t="array" aca="1" ref="AN40" ca="1">IFERROR(
  _xlfn.XLOOKUP(
    $B40,
    INDIRECT("'[storico profut.xlsm]Consiglio_Week'!B:B"),
    OFFSET( INDIRECT("'[storico profut.xlsm]Consiglio_Week'!$R:$R"), 0, COLUMNS($A:C)-1 )
  ),
  ""
)</f>
        <v/>
      </c>
      <c r="AO40" s="21" t="str" cm="1">
        <f t="array" aca="1" ref="AO40" ca="1">IFERROR(
  _xlfn.XLOOKUP(
    $B40,
    INDIRECT("'[storico profut.xlsm]Consiglio_Week'!B:B"),
    OFFSET( INDIRECT("'[storico profut.xlsm]Consiglio_Week'!$R:$R"), 0, COLUMNS($A:D)-1 )
  ),
  ""
)</f>
        <v/>
      </c>
      <c r="AP40" s="21" t="str" cm="1">
        <f t="array" aca="1" ref="AP40" ca="1">IFERROR(
  _xlfn.XLOOKUP(
    $B40,
    INDIRECT("'[storico profut.xlsm]Consiglio_Week'!B:B"),
    OFFSET( INDIRECT("'[storico profut.xlsm]Consiglio_Week'!$R:$R"), 0, COLUMNS($A:E)-1 )
  ),
  ""
)</f>
        <v/>
      </c>
      <c r="AQ40" s="22" t="str" cm="1">
        <f t="array" aca="1" ref="AQ40" ca="1">IFERROR(
  _xlfn.XLOOKUP(
    $B40,
    INDIRECT("'[storico profut.xlsm]Consiglio_Week'!B:B"),
    OFFSET( INDIRECT("'[storico profut.xlsm]Consiglio_Week'!$R:$R"), 0, COLUMNS($A:F)-1 )
  ),
  ""
)</f>
        <v/>
      </c>
      <c r="AR40" s="21" t="str" cm="1">
        <f t="array" aca="1" ref="AR40" ca="1">IFERROR(
  _xlfn.XLOOKUP(
    $B40,
    INDIRECT("'[storico profut.xlsm]Consiglio_Week'!B:B"),
    OFFSET( INDIRECT("'[storico profut.xlsm]Consiglio_Week'!$R:$R"), 0, COLUMNS($A:G)-1 )
  ),
  ""
)</f>
        <v/>
      </c>
      <c r="AS40" s="21" t="str" cm="1">
        <f t="array" aca="1" ref="AS40" ca="1">IFERROR(
  _xlfn.XLOOKUP(
    $B40,
    INDIRECT("'[storico profut.xlsm]Consiglio_Week'!B:B"),
    OFFSET( INDIRECT("'[storico profut.xlsm]Consiglio_Week'!$R:$R"), 0, COLUMNS($A:H)-1 )
  ),
  ""
)</f>
        <v/>
      </c>
      <c r="AT40" s="21" t="str" cm="1">
        <f t="array" aca="1" ref="AT40" ca="1">IFERROR(
  _xlfn.XLOOKUP(
    $B40,
    INDIRECT("'[storico profut.xlsm]Consiglio_Week'!B:B"),
    OFFSET( INDIRECT("'[storico profut.xlsm]Consiglio_Week'!$R:$R"), 0, COLUMNS($A:I)-1 )
  ),
  ""
)</f>
        <v/>
      </c>
      <c r="AU40" s="22" t="str" cm="1">
        <f t="array" aca="1" ref="AU40" ca="1">IFERROR(
  _xlfn.XLOOKUP(
    $B40,
    INDIRECT("'[storico profut.xlsm]Consiglio_Week'!B:B"),
    OFFSET( INDIRECT("'[storico profut.xlsm]Consiglio_Week'!$R:$R"), 0, COLUMNS($A:J)-1 )
  ),
  ""
)</f>
        <v/>
      </c>
      <c r="AV40" s="22" t="str" cm="1">
        <f t="array" aca="1" ref="AV40" ca="1">IFERROR(
  _xlfn.XLOOKUP(
    $B40,
    INDIRECT("'[storico profut.xlsm]Consiglio_Week'!B:B"),
    OFFSET( INDIRECT("'[storico profut.xlsm]Consiglio_Week'!$R:$R"), 0, COLUMNS($A:K)-1 )
  ),
  ""
)</f>
        <v/>
      </c>
      <c r="AW40" s="22" t="str" cm="1">
        <f t="array" aca="1" ref="AW40" ca="1">IFERROR(
  _xlfn.XLOOKUP(
    $B40,
    INDIRECT("'[storico profut.xlsm]Consiglio_Week'!B:B"),
    OFFSET( INDIRECT("'[storico profut.xlsm]Consiglio_Week'!$R:$R"), 0, COLUMNS($A:L)-1 )
  ),
  ""
)</f>
        <v/>
      </c>
      <c r="AX40" s="26" t="str" cm="1">
        <f t="array" aca="1" ref="AX40" ca="1">IFERROR(
  _xlfn.XLOOKUP(
    $B40,
    INDIRECT("'[storico profut.xlsm]Consiglio_Week'!B:B"),
    OFFSET( INDIRECT("'[storico profut.xlsm]Consiglio_Week'!$R:$R"), 0, COLUMNS($A:M)-1 )
  ),
  ""
)</f>
        <v/>
      </c>
      <c r="AY40" s="22">
        <v>0</v>
      </c>
    </row>
    <row r="41" spans="1:51">
      <c r="A41" t="s">
        <v>545</v>
      </c>
      <c r="B41" t="s">
        <v>459</v>
      </c>
      <c r="C41">
        <v>20</v>
      </c>
      <c r="D41">
        <v>2</v>
      </c>
      <c r="E41" s="6">
        <v>0.375</v>
      </c>
      <c r="F41" s="6">
        <v>0.625</v>
      </c>
      <c r="H41" t="s">
        <v>640</v>
      </c>
      <c r="Q41" t="s">
        <v>468</v>
      </c>
      <c r="R41">
        <v>1</v>
      </c>
      <c r="S41" t="s">
        <v>573</v>
      </c>
      <c r="AH41" t="str" cm="1">
        <f t="array" aca="1" ref="AH41" ca="1">+IFERROR(_xlfn.XLOOKUP($B41,INDIRECT("'[storico profut.xlsm]Consiglio_Week'!$B:$B"),INDIRECT("'[storico profut.xlsm]Consiglio_Week'!$I:$I")),"")</f>
        <v/>
      </c>
      <c r="AI41" t="str" cm="1">
        <f t="array" aca="1" ref="AI41" ca="1">+IFERROR(_xlfn.XLOOKUP($B41,INDIRECT("'[storico profut.xlsm]Consiglio_Week'!$B:$B"),INDIRECT("'[storico profut.xlsm]Consiglio_Week'!$L:$L")),"")</f>
        <v/>
      </c>
      <c r="AJ41" t="str" cm="1">
        <f t="array" aca="1" ref="AJ41" ca="1">+IFERROR(_xlfn.XLOOKUP($B41,INDIRECT("'[storico profut.xlsm]Consiglio_Week'!$B:$B"),INDIRECT("'[storico profut.xlsm]Consiglio_Week'!$M:$M")),"")</f>
        <v/>
      </c>
      <c r="AK41" t="str" cm="1">
        <f t="array" aca="1" ref="AK41" ca="1">+IFERROR(_xlfn.XLOOKUP($B41,INDIRECT("'[storico profut.xlsm]Consiglio_Week'!$B:$B"),INDIRECT("'[storico profut.xlsm]Consiglio_Week'!$P:$P")),"")</f>
        <v/>
      </c>
      <c r="AL41" s="21" t="str" cm="1">
        <f t="array" aca="1" ref="AL41" ca="1">IFERROR(
  _xlfn.XLOOKUP(
    $B41,
    INDIRECT("'[storico profut.xlsm]Consiglio_Week'!B:B"),
    OFFSET( INDIRECT("'[storico profut.xlsm]Consiglio_Week'!$R:$R"), 0, COLUMNS($A:A)-1 )
  ),
  ""
)</f>
        <v/>
      </c>
      <c r="AM41" s="21" t="str" cm="1">
        <f t="array" aca="1" ref="AM41" ca="1">IFERROR(
  _xlfn.XLOOKUP(
    $B41,
    INDIRECT("'[storico profut.xlsm]Consiglio_Week'!B:B"),
    OFFSET( INDIRECT("'[storico profut.xlsm]Consiglio_Week'!$R:$R"), 0, COLUMNS($A:B)-1 )
  ),
  ""
)</f>
        <v/>
      </c>
      <c r="AN41" s="21" t="str" cm="1">
        <f t="array" aca="1" ref="AN41" ca="1">IFERROR(
  _xlfn.XLOOKUP(
    $B41,
    INDIRECT("'[storico profut.xlsm]Consiglio_Week'!B:B"),
    OFFSET( INDIRECT("'[storico profut.xlsm]Consiglio_Week'!$R:$R"), 0, COLUMNS($A:C)-1 )
  ),
  ""
)</f>
        <v/>
      </c>
      <c r="AO41" s="21" t="str" cm="1">
        <f t="array" aca="1" ref="AO41" ca="1">IFERROR(
  _xlfn.XLOOKUP(
    $B41,
    INDIRECT("'[storico profut.xlsm]Consiglio_Week'!B:B"),
    OFFSET( INDIRECT("'[storico profut.xlsm]Consiglio_Week'!$R:$R"), 0, COLUMNS($A:D)-1 )
  ),
  ""
)</f>
        <v/>
      </c>
      <c r="AP41" s="21" t="str" cm="1">
        <f t="array" aca="1" ref="AP41" ca="1">IFERROR(
  _xlfn.XLOOKUP(
    $B41,
    INDIRECT("'[storico profut.xlsm]Consiglio_Week'!B:B"),
    OFFSET( INDIRECT("'[storico profut.xlsm]Consiglio_Week'!$R:$R"), 0, COLUMNS($A:E)-1 )
  ),
  ""
)</f>
        <v/>
      </c>
      <c r="AQ41" s="22" t="str" cm="1">
        <f t="array" aca="1" ref="AQ41" ca="1">IFERROR(
  _xlfn.XLOOKUP(
    $B41,
    INDIRECT("'[storico profut.xlsm]Consiglio_Week'!B:B"),
    OFFSET( INDIRECT("'[storico profut.xlsm]Consiglio_Week'!$R:$R"), 0, COLUMNS($A:F)-1 )
  ),
  ""
)</f>
        <v/>
      </c>
      <c r="AR41" s="21" t="str" cm="1">
        <f t="array" aca="1" ref="AR41" ca="1">IFERROR(
  _xlfn.XLOOKUP(
    $B41,
    INDIRECT("'[storico profut.xlsm]Consiglio_Week'!B:B"),
    OFFSET( INDIRECT("'[storico profut.xlsm]Consiglio_Week'!$R:$R"), 0, COLUMNS($A:G)-1 )
  ),
  ""
)</f>
        <v/>
      </c>
      <c r="AS41" s="21" t="str" cm="1">
        <f t="array" aca="1" ref="AS41" ca="1">IFERROR(
  _xlfn.XLOOKUP(
    $B41,
    INDIRECT("'[storico profut.xlsm]Consiglio_Week'!B:B"),
    OFFSET( INDIRECT("'[storico profut.xlsm]Consiglio_Week'!$R:$R"), 0, COLUMNS($A:H)-1 )
  ),
  ""
)</f>
        <v/>
      </c>
      <c r="AT41" s="21" t="str" cm="1">
        <f t="array" aca="1" ref="AT41" ca="1">IFERROR(
  _xlfn.XLOOKUP(
    $B41,
    INDIRECT("'[storico profut.xlsm]Consiglio_Week'!B:B"),
    OFFSET( INDIRECT("'[storico profut.xlsm]Consiglio_Week'!$R:$R"), 0, COLUMNS($A:I)-1 )
  ),
  ""
)</f>
        <v/>
      </c>
      <c r="AU41" s="22" t="str" cm="1">
        <f t="array" aca="1" ref="AU41" ca="1">IFERROR(
  _xlfn.XLOOKUP(
    $B41,
    INDIRECT("'[storico profut.xlsm]Consiglio_Week'!B:B"),
    OFFSET( INDIRECT("'[storico profut.xlsm]Consiglio_Week'!$R:$R"), 0, COLUMNS($A:J)-1 )
  ),
  ""
)</f>
        <v/>
      </c>
      <c r="AV41" s="22" t="str" cm="1">
        <f t="array" aca="1" ref="AV41" ca="1">IFERROR(
  _xlfn.XLOOKUP(
    $B41,
    INDIRECT("'[storico profut.xlsm]Consiglio_Week'!B:B"),
    OFFSET( INDIRECT("'[storico profut.xlsm]Consiglio_Week'!$R:$R"), 0, COLUMNS($A:K)-1 )
  ),
  ""
)</f>
        <v/>
      </c>
      <c r="AW41" s="22" t="str" cm="1">
        <f t="array" aca="1" ref="AW41" ca="1">IFERROR(
  _xlfn.XLOOKUP(
    $B41,
    INDIRECT("'[storico profut.xlsm]Consiglio_Week'!B:B"),
    OFFSET( INDIRECT("'[storico profut.xlsm]Consiglio_Week'!$R:$R"), 0, COLUMNS($A:L)-1 )
  ),
  ""
)</f>
        <v/>
      </c>
      <c r="AX41" s="26" t="str" cm="1">
        <f t="array" aca="1" ref="AX41" ca="1">IFERROR(
  _xlfn.XLOOKUP(
    $B41,
    INDIRECT("'[storico profut.xlsm]Consiglio_Week'!B:B"),
    OFFSET( INDIRECT("'[storico profut.xlsm]Consiglio_Week'!$R:$R"), 0, COLUMNS($A:M)-1 )
  ),
  ""
)</f>
        <v/>
      </c>
      <c r="AY41" s="22">
        <v>0</v>
      </c>
    </row>
    <row r="42" spans="1:51">
      <c r="A42" t="s">
        <v>546</v>
      </c>
      <c r="B42" t="s">
        <v>460</v>
      </c>
      <c r="C42">
        <v>20</v>
      </c>
      <c r="D42">
        <v>2</v>
      </c>
      <c r="E42" s="6">
        <v>0.375</v>
      </c>
      <c r="F42" s="6">
        <v>0.625</v>
      </c>
      <c r="Q42" t="s">
        <v>468</v>
      </c>
      <c r="R42">
        <v>1</v>
      </c>
      <c r="S42" t="s">
        <v>573</v>
      </c>
      <c r="AH42" t="str" cm="1">
        <f t="array" aca="1" ref="AH42" ca="1">+IFERROR(_xlfn.XLOOKUP($B42,INDIRECT("'[storico profut.xlsm]Consiglio_Week'!$B:$B"),INDIRECT("'[storico profut.xlsm]Consiglio_Week'!$I:$I")),"")</f>
        <v/>
      </c>
      <c r="AI42" t="str" cm="1">
        <f t="array" aca="1" ref="AI42" ca="1">+IFERROR(_xlfn.XLOOKUP($B42,INDIRECT("'[storico profut.xlsm]Consiglio_Week'!$B:$B"),INDIRECT("'[storico profut.xlsm]Consiglio_Week'!$L:$L")),"")</f>
        <v/>
      </c>
      <c r="AJ42" t="str" cm="1">
        <f t="array" aca="1" ref="AJ42" ca="1">+IFERROR(_xlfn.XLOOKUP($B42,INDIRECT("'[storico profut.xlsm]Consiglio_Week'!$B:$B"),INDIRECT("'[storico profut.xlsm]Consiglio_Week'!$M:$M")),"")</f>
        <v/>
      </c>
      <c r="AK42" t="str" cm="1">
        <f t="array" aca="1" ref="AK42" ca="1">+IFERROR(_xlfn.XLOOKUP($B42,INDIRECT("'[storico profut.xlsm]Consiglio_Week'!$B:$B"),INDIRECT("'[storico profut.xlsm]Consiglio_Week'!$P:$P")),"")</f>
        <v/>
      </c>
      <c r="AL42" s="21" t="str" cm="1">
        <f t="array" aca="1" ref="AL42" ca="1">IFERROR(
  _xlfn.XLOOKUP(
    $B42,
    INDIRECT("'[storico profut.xlsm]Consiglio_Week'!B:B"),
    OFFSET( INDIRECT("'[storico profut.xlsm]Consiglio_Week'!$R:$R"), 0, COLUMNS($A:A)-1 )
  ),
  ""
)</f>
        <v/>
      </c>
      <c r="AM42" s="21" t="str" cm="1">
        <f t="array" aca="1" ref="AM42" ca="1">IFERROR(
  _xlfn.XLOOKUP(
    $B42,
    INDIRECT("'[storico profut.xlsm]Consiglio_Week'!B:B"),
    OFFSET( INDIRECT("'[storico profut.xlsm]Consiglio_Week'!$R:$R"), 0, COLUMNS($A:B)-1 )
  ),
  ""
)</f>
        <v/>
      </c>
      <c r="AN42" s="21" t="str" cm="1">
        <f t="array" aca="1" ref="AN42" ca="1">IFERROR(
  _xlfn.XLOOKUP(
    $B42,
    INDIRECT("'[storico profut.xlsm]Consiglio_Week'!B:B"),
    OFFSET( INDIRECT("'[storico profut.xlsm]Consiglio_Week'!$R:$R"), 0, COLUMNS($A:C)-1 )
  ),
  ""
)</f>
        <v/>
      </c>
      <c r="AO42" s="21" t="str" cm="1">
        <f t="array" aca="1" ref="AO42" ca="1">IFERROR(
  _xlfn.XLOOKUP(
    $B42,
    INDIRECT("'[storico profut.xlsm]Consiglio_Week'!B:B"),
    OFFSET( INDIRECT("'[storico profut.xlsm]Consiglio_Week'!$R:$R"), 0, COLUMNS($A:D)-1 )
  ),
  ""
)</f>
        <v/>
      </c>
      <c r="AP42" s="21" t="str" cm="1">
        <f t="array" aca="1" ref="AP42" ca="1">IFERROR(
  _xlfn.XLOOKUP(
    $B42,
    INDIRECT("'[storico profut.xlsm]Consiglio_Week'!B:B"),
    OFFSET( INDIRECT("'[storico profut.xlsm]Consiglio_Week'!$R:$R"), 0, COLUMNS($A:E)-1 )
  ),
  ""
)</f>
        <v/>
      </c>
      <c r="AQ42" s="22" t="str" cm="1">
        <f t="array" aca="1" ref="AQ42" ca="1">IFERROR(
  _xlfn.XLOOKUP(
    $B42,
    INDIRECT("'[storico profut.xlsm]Consiglio_Week'!B:B"),
    OFFSET( INDIRECT("'[storico profut.xlsm]Consiglio_Week'!$R:$R"), 0, COLUMNS($A:F)-1 )
  ),
  ""
)</f>
        <v/>
      </c>
      <c r="AR42" s="21" t="str" cm="1">
        <f t="array" aca="1" ref="AR42" ca="1">IFERROR(
  _xlfn.XLOOKUP(
    $B42,
    INDIRECT("'[storico profut.xlsm]Consiglio_Week'!B:B"),
    OFFSET( INDIRECT("'[storico profut.xlsm]Consiglio_Week'!$R:$R"), 0, COLUMNS($A:G)-1 )
  ),
  ""
)</f>
        <v/>
      </c>
      <c r="AS42" s="21" t="str" cm="1">
        <f t="array" aca="1" ref="AS42" ca="1">IFERROR(
  _xlfn.XLOOKUP(
    $B42,
    INDIRECT("'[storico profut.xlsm]Consiglio_Week'!B:B"),
    OFFSET( INDIRECT("'[storico profut.xlsm]Consiglio_Week'!$R:$R"), 0, COLUMNS($A:H)-1 )
  ),
  ""
)</f>
        <v/>
      </c>
      <c r="AT42" s="21" t="str" cm="1">
        <f t="array" aca="1" ref="AT42" ca="1">IFERROR(
  _xlfn.XLOOKUP(
    $B42,
    INDIRECT("'[storico profut.xlsm]Consiglio_Week'!B:B"),
    OFFSET( INDIRECT("'[storico profut.xlsm]Consiglio_Week'!$R:$R"), 0, COLUMNS($A:I)-1 )
  ),
  ""
)</f>
        <v/>
      </c>
      <c r="AU42" s="22" t="str" cm="1">
        <f t="array" aca="1" ref="AU42" ca="1">IFERROR(
  _xlfn.XLOOKUP(
    $B42,
    INDIRECT("'[storico profut.xlsm]Consiglio_Week'!B:B"),
    OFFSET( INDIRECT("'[storico profut.xlsm]Consiglio_Week'!$R:$R"), 0, COLUMNS($A:J)-1 )
  ),
  ""
)</f>
        <v/>
      </c>
      <c r="AV42" s="22" t="str" cm="1">
        <f t="array" aca="1" ref="AV42" ca="1">IFERROR(
  _xlfn.XLOOKUP(
    $B42,
    INDIRECT("'[storico profut.xlsm]Consiglio_Week'!B:B"),
    OFFSET( INDIRECT("'[storico profut.xlsm]Consiglio_Week'!$R:$R"), 0, COLUMNS($A:K)-1 )
  ),
  ""
)</f>
        <v/>
      </c>
      <c r="AW42" s="22" t="str" cm="1">
        <f t="array" aca="1" ref="AW42" ca="1">IFERROR(
  _xlfn.XLOOKUP(
    $B42,
    INDIRECT("'[storico profut.xlsm]Consiglio_Week'!B:B"),
    OFFSET( INDIRECT("'[storico profut.xlsm]Consiglio_Week'!$R:$R"), 0, COLUMNS($A:L)-1 )
  ),
  ""
)</f>
        <v/>
      </c>
      <c r="AX42" s="26" t="str" cm="1">
        <f t="array" aca="1" ref="AX42" ca="1">IFERROR(
  _xlfn.XLOOKUP(
    $B42,
    INDIRECT("'[storico profut.xlsm]Consiglio_Week'!B:B"),
    OFFSET( INDIRECT("'[storico profut.xlsm]Consiglio_Week'!$R:$R"), 0, COLUMNS($A:M)-1 )
  ),
  ""
)</f>
        <v/>
      </c>
      <c r="AY42" s="22">
        <v>0</v>
      </c>
    </row>
    <row r="43" spans="1:51">
      <c r="A43" t="s">
        <v>547</v>
      </c>
      <c r="B43" t="s">
        <v>480</v>
      </c>
      <c r="C43">
        <v>20</v>
      </c>
      <c r="D43">
        <v>2</v>
      </c>
      <c r="E43" s="6">
        <v>0.375</v>
      </c>
      <c r="F43" s="6">
        <v>0.625</v>
      </c>
      <c r="G43" s="5"/>
      <c r="H43" s="5" t="s">
        <v>640</v>
      </c>
      <c r="I43" s="7"/>
      <c r="J43" s="7"/>
      <c r="K43" s="7"/>
      <c r="L43" s="7"/>
      <c r="M43" s="7"/>
      <c r="N43" s="7"/>
      <c r="O43" s="7"/>
      <c r="P43" s="7"/>
      <c r="Q43" t="s">
        <v>468</v>
      </c>
      <c r="R43">
        <v>1</v>
      </c>
      <c r="S43" t="s">
        <v>574</v>
      </c>
      <c r="AH43" t="str" cm="1">
        <f t="array" aca="1" ref="AH43" ca="1">+IFERROR(_xlfn.XLOOKUP($B43,INDIRECT("'[storico profut.xlsm]Consiglio_Week'!$B:$B"),INDIRECT("'[storico profut.xlsm]Consiglio_Week'!$I:$I")),"")</f>
        <v/>
      </c>
      <c r="AI43" t="str" cm="1">
        <f t="array" aca="1" ref="AI43" ca="1">+IFERROR(_xlfn.XLOOKUP($B43,INDIRECT("'[storico profut.xlsm]Consiglio_Week'!$B:$B"),INDIRECT("'[storico profut.xlsm]Consiglio_Week'!$L:$L")),"")</f>
        <v/>
      </c>
      <c r="AJ43" t="str" cm="1">
        <f t="array" aca="1" ref="AJ43" ca="1">+IFERROR(_xlfn.XLOOKUP($B43,INDIRECT("'[storico profut.xlsm]Consiglio_Week'!$B:$B"),INDIRECT("'[storico profut.xlsm]Consiglio_Week'!$M:$M")),"")</f>
        <v/>
      </c>
      <c r="AK43" t="str" cm="1">
        <f t="array" aca="1" ref="AK43" ca="1">+IFERROR(_xlfn.XLOOKUP($B43,INDIRECT("'[storico profut.xlsm]Consiglio_Week'!$B:$B"),INDIRECT("'[storico profut.xlsm]Consiglio_Week'!$P:$P")),"")</f>
        <v/>
      </c>
      <c r="AL43" s="21" t="str" cm="1">
        <f t="array" aca="1" ref="AL43" ca="1">IFERROR(
  _xlfn.XLOOKUP(
    $B43,
    INDIRECT("'[storico profut.xlsm]Consiglio_Week'!B:B"),
    OFFSET( INDIRECT("'[storico profut.xlsm]Consiglio_Week'!$R:$R"), 0, COLUMNS($A:A)-1 )
  ),
  ""
)</f>
        <v/>
      </c>
      <c r="AM43" s="21" t="str" cm="1">
        <f t="array" aca="1" ref="AM43" ca="1">IFERROR(
  _xlfn.XLOOKUP(
    $B43,
    INDIRECT("'[storico profut.xlsm]Consiglio_Week'!B:B"),
    OFFSET( INDIRECT("'[storico profut.xlsm]Consiglio_Week'!$R:$R"), 0, COLUMNS($A:B)-1 )
  ),
  ""
)</f>
        <v/>
      </c>
      <c r="AN43" s="21" t="str" cm="1">
        <f t="array" aca="1" ref="AN43" ca="1">IFERROR(
  _xlfn.XLOOKUP(
    $B43,
    INDIRECT("'[storico profut.xlsm]Consiglio_Week'!B:B"),
    OFFSET( INDIRECT("'[storico profut.xlsm]Consiglio_Week'!$R:$R"), 0, COLUMNS($A:C)-1 )
  ),
  ""
)</f>
        <v/>
      </c>
      <c r="AO43" s="21" t="str" cm="1">
        <f t="array" aca="1" ref="AO43" ca="1">IFERROR(
  _xlfn.XLOOKUP(
    $B43,
    INDIRECT("'[storico profut.xlsm]Consiglio_Week'!B:B"),
    OFFSET( INDIRECT("'[storico profut.xlsm]Consiglio_Week'!$R:$R"), 0, COLUMNS($A:D)-1 )
  ),
  ""
)</f>
        <v/>
      </c>
      <c r="AP43" s="21" t="str" cm="1">
        <f t="array" aca="1" ref="AP43" ca="1">IFERROR(
  _xlfn.XLOOKUP(
    $B43,
    INDIRECT("'[storico profut.xlsm]Consiglio_Week'!B:B"),
    OFFSET( INDIRECT("'[storico profut.xlsm]Consiglio_Week'!$R:$R"), 0, COLUMNS($A:E)-1 )
  ),
  ""
)</f>
        <v/>
      </c>
      <c r="AQ43" s="22" t="str" cm="1">
        <f t="array" aca="1" ref="AQ43" ca="1">IFERROR(
  _xlfn.XLOOKUP(
    $B43,
    INDIRECT("'[storico profut.xlsm]Consiglio_Week'!B:B"),
    OFFSET( INDIRECT("'[storico profut.xlsm]Consiglio_Week'!$R:$R"), 0, COLUMNS($A:F)-1 )
  ),
  ""
)</f>
        <v/>
      </c>
      <c r="AR43" s="21" t="str" cm="1">
        <f t="array" aca="1" ref="AR43" ca="1">IFERROR(
  _xlfn.XLOOKUP(
    $B43,
    INDIRECT("'[storico profut.xlsm]Consiglio_Week'!B:B"),
    OFFSET( INDIRECT("'[storico profut.xlsm]Consiglio_Week'!$R:$R"), 0, COLUMNS($A:G)-1 )
  ),
  ""
)</f>
        <v/>
      </c>
      <c r="AS43" s="21" t="str" cm="1">
        <f t="array" aca="1" ref="AS43" ca="1">IFERROR(
  _xlfn.XLOOKUP(
    $B43,
    INDIRECT("'[storico profut.xlsm]Consiglio_Week'!B:B"),
    OFFSET( INDIRECT("'[storico profut.xlsm]Consiglio_Week'!$R:$R"), 0, COLUMNS($A:H)-1 )
  ),
  ""
)</f>
        <v/>
      </c>
      <c r="AT43" s="21" t="str" cm="1">
        <f t="array" aca="1" ref="AT43" ca="1">IFERROR(
  _xlfn.XLOOKUP(
    $B43,
    INDIRECT("'[storico profut.xlsm]Consiglio_Week'!B:B"),
    OFFSET( INDIRECT("'[storico profut.xlsm]Consiglio_Week'!$R:$R"), 0, COLUMNS($A:I)-1 )
  ),
  ""
)</f>
        <v/>
      </c>
      <c r="AU43" s="22" t="str" cm="1">
        <f t="array" aca="1" ref="AU43" ca="1">IFERROR(
  _xlfn.XLOOKUP(
    $B43,
    INDIRECT("'[storico profut.xlsm]Consiglio_Week'!B:B"),
    OFFSET( INDIRECT("'[storico profut.xlsm]Consiglio_Week'!$R:$R"), 0, COLUMNS($A:J)-1 )
  ),
  ""
)</f>
        <v/>
      </c>
      <c r="AV43" s="22" t="str" cm="1">
        <f t="array" aca="1" ref="AV43" ca="1">IFERROR(
  _xlfn.XLOOKUP(
    $B43,
    INDIRECT("'[storico profut.xlsm]Consiglio_Week'!B:B"),
    OFFSET( INDIRECT("'[storico profut.xlsm]Consiglio_Week'!$R:$R"), 0, COLUMNS($A:K)-1 )
  ),
  ""
)</f>
        <v/>
      </c>
      <c r="AW43" s="22" t="str" cm="1">
        <f t="array" aca="1" ref="AW43" ca="1">IFERROR(
  _xlfn.XLOOKUP(
    $B43,
    INDIRECT("'[storico profut.xlsm]Consiglio_Week'!B:B"),
    OFFSET( INDIRECT("'[storico profut.xlsm]Consiglio_Week'!$R:$R"), 0, COLUMNS($A:L)-1 )
  ),
  ""
)</f>
        <v/>
      </c>
      <c r="AX43" s="26" t="str" cm="1">
        <f t="array" aca="1" ref="AX43" ca="1">IFERROR(
  _xlfn.XLOOKUP(
    $B43,
    INDIRECT("'[storico profut.xlsm]Consiglio_Week'!B:B"),
    OFFSET( INDIRECT("'[storico profut.xlsm]Consiglio_Week'!$R:$R"), 0, COLUMNS($A:M)-1 )
  ),
  ""
)</f>
        <v/>
      </c>
      <c r="AY43" s="22">
        <v>0</v>
      </c>
    </row>
    <row r="44" spans="1:51">
      <c r="A44" t="s">
        <v>548</v>
      </c>
      <c r="B44" t="s">
        <v>481</v>
      </c>
      <c r="C44">
        <v>20</v>
      </c>
      <c r="D44">
        <v>2</v>
      </c>
      <c r="E44" s="16">
        <v>0.375</v>
      </c>
      <c r="F44" s="16">
        <v>0.54166666666666663</v>
      </c>
      <c r="G44" s="15" t="s">
        <v>640</v>
      </c>
      <c r="H44" s="15" t="s">
        <v>640</v>
      </c>
      <c r="I44" s="5"/>
      <c r="J44" s="5"/>
      <c r="K44" s="5"/>
      <c r="L44" s="5"/>
      <c r="M44" s="5"/>
      <c r="N44" s="5"/>
      <c r="O44" s="5"/>
      <c r="P44" s="5"/>
      <c r="Q44" t="s">
        <v>468</v>
      </c>
      <c r="R44">
        <v>0</v>
      </c>
      <c r="S44" t="s">
        <v>574</v>
      </c>
      <c r="AH44" t="str" cm="1">
        <f t="array" aca="1" ref="AH44" ca="1">+IFERROR(_xlfn.XLOOKUP($B44,INDIRECT("'[storico profut.xlsm]Consiglio_Week'!$B:$B"),INDIRECT("'[storico profut.xlsm]Consiglio_Week'!$I:$I")),"")</f>
        <v/>
      </c>
      <c r="AI44" t="str" cm="1">
        <f t="array" aca="1" ref="AI44" ca="1">+IFERROR(_xlfn.XLOOKUP($B44,INDIRECT("'[storico profut.xlsm]Consiglio_Week'!$B:$B"),INDIRECT("'[storico profut.xlsm]Consiglio_Week'!$L:$L")),"")</f>
        <v/>
      </c>
      <c r="AJ44" t="str" cm="1">
        <f t="array" aca="1" ref="AJ44" ca="1">+IFERROR(_xlfn.XLOOKUP($B44,INDIRECT("'[storico profut.xlsm]Consiglio_Week'!$B:$B"),INDIRECT("'[storico profut.xlsm]Consiglio_Week'!$M:$M")),"")</f>
        <v/>
      </c>
      <c r="AK44" t="str" cm="1">
        <f t="array" aca="1" ref="AK44" ca="1">+IFERROR(_xlfn.XLOOKUP($B44,INDIRECT("'[storico profut.xlsm]Consiglio_Week'!$B:$B"),INDIRECT("'[storico profut.xlsm]Consiglio_Week'!$P:$P")),"")</f>
        <v/>
      </c>
      <c r="AL44" s="21" t="str" cm="1">
        <f t="array" aca="1" ref="AL44" ca="1">IFERROR(
  _xlfn.XLOOKUP(
    $B44,
    INDIRECT("'[storico profut.xlsm]Consiglio_Week'!B:B"),
    OFFSET( INDIRECT("'[storico profut.xlsm]Consiglio_Week'!$R:$R"), 0, COLUMNS($A:A)-1 )
  ),
  ""
)</f>
        <v/>
      </c>
      <c r="AM44" s="21" t="str" cm="1">
        <f t="array" aca="1" ref="AM44" ca="1">IFERROR(
  _xlfn.XLOOKUP(
    $B44,
    INDIRECT("'[storico profut.xlsm]Consiglio_Week'!B:B"),
    OFFSET( INDIRECT("'[storico profut.xlsm]Consiglio_Week'!$R:$R"), 0, COLUMNS($A:B)-1 )
  ),
  ""
)</f>
        <v/>
      </c>
      <c r="AN44" s="21" t="str" cm="1">
        <f t="array" aca="1" ref="AN44" ca="1">IFERROR(
  _xlfn.XLOOKUP(
    $B44,
    INDIRECT("'[storico profut.xlsm]Consiglio_Week'!B:B"),
    OFFSET( INDIRECT("'[storico profut.xlsm]Consiglio_Week'!$R:$R"), 0, COLUMNS($A:C)-1 )
  ),
  ""
)</f>
        <v/>
      </c>
      <c r="AO44" s="21" t="str" cm="1">
        <f t="array" aca="1" ref="AO44" ca="1">IFERROR(
  _xlfn.XLOOKUP(
    $B44,
    INDIRECT("'[storico profut.xlsm]Consiglio_Week'!B:B"),
    OFFSET( INDIRECT("'[storico profut.xlsm]Consiglio_Week'!$R:$R"), 0, COLUMNS($A:D)-1 )
  ),
  ""
)</f>
        <v/>
      </c>
      <c r="AP44" s="21" t="str" cm="1">
        <f t="array" aca="1" ref="AP44" ca="1">IFERROR(
  _xlfn.XLOOKUP(
    $B44,
    INDIRECT("'[storico profut.xlsm]Consiglio_Week'!B:B"),
    OFFSET( INDIRECT("'[storico profut.xlsm]Consiglio_Week'!$R:$R"), 0, COLUMNS($A:E)-1 )
  ),
  ""
)</f>
        <v/>
      </c>
      <c r="AQ44" s="22" t="str" cm="1">
        <f t="array" aca="1" ref="AQ44" ca="1">IFERROR(
  _xlfn.XLOOKUP(
    $B44,
    INDIRECT("'[storico profut.xlsm]Consiglio_Week'!B:B"),
    OFFSET( INDIRECT("'[storico profut.xlsm]Consiglio_Week'!$R:$R"), 0, COLUMNS($A:F)-1 )
  ),
  ""
)</f>
        <v/>
      </c>
      <c r="AR44" s="21" t="str" cm="1">
        <f t="array" aca="1" ref="AR44" ca="1">IFERROR(
  _xlfn.XLOOKUP(
    $B44,
    INDIRECT("'[storico profut.xlsm]Consiglio_Week'!B:B"),
    OFFSET( INDIRECT("'[storico profut.xlsm]Consiglio_Week'!$R:$R"), 0, COLUMNS($A:G)-1 )
  ),
  ""
)</f>
        <v/>
      </c>
      <c r="AS44" s="21" t="str" cm="1">
        <f t="array" aca="1" ref="AS44" ca="1">IFERROR(
  _xlfn.XLOOKUP(
    $B44,
    INDIRECT("'[storico profut.xlsm]Consiglio_Week'!B:B"),
    OFFSET( INDIRECT("'[storico profut.xlsm]Consiglio_Week'!$R:$R"), 0, COLUMNS($A:H)-1 )
  ),
  ""
)</f>
        <v/>
      </c>
      <c r="AT44" s="21" t="str" cm="1">
        <f t="array" aca="1" ref="AT44" ca="1">IFERROR(
  _xlfn.XLOOKUP(
    $B44,
    INDIRECT("'[storico profut.xlsm]Consiglio_Week'!B:B"),
    OFFSET( INDIRECT("'[storico profut.xlsm]Consiglio_Week'!$R:$R"), 0, COLUMNS($A:I)-1 )
  ),
  ""
)</f>
        <v/>
      </c>
      <c r="AU44" s="22" t="str" cm="1">
        <f t="array" aca="1" ref="AU44" ca="1">IFERROR(
  _xlfn.XLOOKUP(
    $B44,
    INDIRECT("'[storico profut.xlsm]Consiglio_Week'!B:B"),
    OFFSET( INDIRECT("'[storico profut.xlsm]Consiglio_Week'!$R:$R"), 0, COLUMNS($A:J)-1 )
  ),
  ""
)</f>
        <v/>
      </c>
      <c r="AV44" s="22" t="str" cm="1">
        <f t="array" aca="1" ref="AV44" ca="1">IFERROR(
  _xlfn.XLOOKUP(
    $B44,
    INDIRECT("'[storico profut.xlsm]Consiglio_Week'!B:B"),
    OFFSET( INDIRECT("'[storico profut.xlsm]Consiglio_Week'!$R:$R"), 0, COLUMNS($A:K)-1 )
  ),
  ""
)</f>
        <v/>
      </c>
      <c r="AW44" s="22" t="str" cm="1">
        <f t="array" aca="1" ref="AW44" ca="1">IFERROR(
  _xlfn.XLOOKUP(
    $B44,
    INDIRECT("'[storico profut.xlsm]Consiglio_Week'!B:B"),
    OFFSET( INDIRECT("'[storico profut.xlsm]Consiglio_Week'!$R:$R"), 0, COLUMNS($A:L)-1 )
  ),
  ""
)</f>
        <v/>
      </c>
      <c r="AX44" s="26" t="str" cm="1">
        <f t="array" aca="1" ref="AX44" ca="1">IFERROR(
  _xlfn.XLOOKUP(
    $B44,
    INDIRECT("'[storico profut.xlsm]Consiglio_Week'!B:B"),
    OFFSET( INDIRECT("'[storico profut.xlsm]Consiglio_Week'!$R:$R"), 0, COLUMNS($A:M)-1 )
  ),
  ""
)</f>
        <v/>
      </c>
      <c r="AY44" s="22" t="s">
        <v>632</v>
      </c>
    </row>
    <row r="45" spans="1:51">
      <c r="A45" t="s">
        <v>549</v>
      </c>
      <c r="B45" t="s">
        <v>482</v>
      </c>
      <c r="C45">
        <v>20</v>
      </c>
      <c r="D45">
        <v>2</v>
      </c>
      <c r="E45" s="16">
        <v>0.375</v>
      </c>
      <c r="F45" s="16">
        <v>0.54166666666666663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t="s">
        <v>468</v>
      </c>
      <c r="R45">
        <v>0</v>
      </c>
      <c r="S45" t="s">
        <v>574</v>
      </c>
      <c r="AH45" t="str" cm="1">
        <f t="array" aca="1" ref="AH45" ca="1">+IFERROR(_xlfn.XLOOKUP($B45,INDIRECT("'[storico profut.xlsm]Consiglio_Week'!$B:$B"),INDIRECT("'[storico profut.xlsm]Consiglio_Week'!$I:$I")),"")</f>
        <v/>
      </c>
      <c r="AI45" t="str" cm="1">
        <f t="array" aca="1" ref="AI45" ca="1">+IFERROR(_xlfn.XLOOKUP($B45,INDIRECT("'[storico profut.xlsm]Consiglio_Week'!$B:$B"),INDIRECT("'[storico profut.xlsm]Consiglio_Week'!$L:$L")),"")</f>
        <v/>
      </c>
      <c r="AJ45" t="str" cm="1">
        <f t="array" aca="1" ref="AJ45" ca="1">+IFERROR(_xlfn.XLOOKUP($B45,INDIRECT("'[storico profut.xlsm]Consiglio_Week'!$B:$B"),INDIRECT("'[storico profut.xlsm]Consiglio_Week'!$M:$M")),"")</f>
        <v/>
      </c>
      <c r="AK45" t="str" cm="1">
        <f t="array" aca="1" ref="AK45" ca="1">+IFERROR(_xlfn.XLOOKUP($B45,INDIRECT("'[storico profut.xlsm]Consiglio_Week'!$B:$B"),INDIRECT("'[storico profut.xlsm]Consiglio_Week'!$P:$P")),"")</f>
        <v/>
      </c>
      <c r="AL45" s="21" t="str" cm="1">
        <f t="array" aca="1" ref="AL45" ca="1">IFERROR(
  _xlfn.XLOOKUP(
    $B45,
    INDIRECT("'[storico profut.xlsm]Consiglio_Week'!B:B"),
    OFFSET( INDIRECT("'[storico profut.xlsm]Consiglio_Week'!$R:$R"), 0, COLUMNS($A:A)-1 )
  ),
  ""
)</f>
        <v/>
      </c>
      <c r="AM45" s="21" t="str" cm="1">
        <f t="array" aca="1" ref="AM45" ca="1">IFERROR(
  _xlfn.XLOOKUP(
    $B45,
    INDIRECT("'[storico profut.xlsm]Consiglio_Week'!B:B"),
    OFFSET( INDIRECT("'[storico profut.xlsm]Consiglio_Week'!$R:$R"), 0, COLUMNS($A:B)-1 )
  ),
  ""
)</f>
        <v/>
      </c>
      <c r="AN45" s="21" t="str" cm="1">
        <f t="array" aca="1" ref="AN45" ca="1">IFERROR(
  _xlfn.XLOOKUP(
    $B45,
    INDIRECT("'[storico profut.xlsm]Consiglio_Week'!B:B"),
    OFFSET( INDIRECT("'[storico profut.xlsm]Consiglio_Week'!$R:$R"), 0, COLUMNS($A:C)-1 )
  ),
  ""
)</f>
        <v/>
      </c>
      <c r="AO45" s="21" t="str" cm="1">
        <f t="array" aca="1" ref="AO45" ca="1">IFERROR(
  _xlfn.XLOOKUP(
    $B45,
    INDIRECT("'[storico profut.xlsm]Consiglio_Week'!B:B"),
    OFFSET( INDIRECT("'[storico profut.xlsm]Consiglio_Week'!$R:$R"), 0, COLUMNS($A:D)-1 )
  ),
  ""
)</f>
        <v/>
      </c>
      <c r="AP45" s="21" t="str" cm="1">
        <f t="array" aca="1" ref="AP45" ca="1">IFERROR(
  _xlfn.XLOOKUP(
    $B45,
    INDIRECT("'[storico profut.xlsm]Consiglio_Week'!B:B"),
    OFFSET( INDIRECT("'[storico profut.xlsm]Consiglio_Week'!$R:$R"), 0, COLUMNS($A:E)-1 )
  ),
  ""
)</f>
        <v/>
      </c>
      <c r="AQ45" s="22" t="str" cm="1">
        <f t="array" aca="1" ref="AQ45" ca="1">IFERROR(
  _xlfn.XLOOKUP(
    $B45,
    INDIRECT("'[storico profut.xlsm]Consiglio_Week'!B:B"),
    OFFSET( INDIRECT("'[storico profut.xlsm]Consiglio_Week'!$R:$R"), 0, COLUMNS($A:F)-1 )
  ),
  ""
)</f>
        <v/>
      </c>
      <c r="AR45" s="21" t="str" cm="1">
        <f t="array" aca="1" ref="AR45" ca="1">IFERROR(
  _xlfn.XLOOKUP(
    $B45,
    INDIRECT("'[storico profut.xlsm]Consiglio_Week'!B:B"),
    OFFSET( INDIRECT("'[storico profut.xlsm]Consiglio_Week'!$R:$R"), 0, COLUMNS($A:G)-1 )
  ),
  ""
)</f>
        <v/>
      </c>
      <c r="AS45" s="21" t="str" cm="1">
        <f t="array" aca="1" ref="AS45" ca="1">IFERROR(
  _xlfn.XLOOKUP(
    $B45,
    INDIRECT("'[storico profut.xlsm]Consiglio_Week'!B:B"),
    OFFSET( INDIRECT("'[storico profut.xlsm]Consiglio_Week'!$R:$R"), 0, COLUMNS($A:H)-1 )
  ),
  ""
)</f>
        <v/>
      </c>
      <c r="AT45" s="21" t="str" cm="1">
        <f t="array" aca="1" ref="AT45" ca="1">IFERROR(
  _xlfn.XLOOKUP(
    $B45,
    INDIRECT("'[storico profut.xlsm]Consiglio_Week'!B:B"),
    OFFSET( INDIRECT("'[storico profut.xlsm]Consiglio_Week'!$R:$R"), 0, COLUMNS($A:I)-1 )
  ),
  ""
)</f>
        <v/>
      </c>
      <c r="AU45" s="22" t="str" cm="1">
        <f t="array" aca="1" ref="AU45" ca="1">IFERROR(
  _xlfn.XLOOKUP(
    $B45,
    INDIRECT("'[storico profut.xlsm]Consiglio_Week'!B:B"),
    OFFSET( INDIRECT("'[storico profut.xlsm]Consiglio_Week'!$R:$R"), 0, COLUMNS($A:J)-1 )
  ),
  ""
)</f>
        <v/>
      </c>
      <c r="AV45" s="22" t="str" cm="1">
        <f t="array" aca="1" ref="AV45" ca="1">IFERROR(
  _xlfn.XLOOKUP(
    $B45,
    INDIRECT("'[storico profut.xlsm]Consiglio_Week'!B:B"),
    OFFSET( INDIRECT("'[storico profut.xlsm]Consiglio_Week'!$R:$R"), 0, COLUMNS($A:K)-1 )
  ),
  ""
)</f>
        <v/>
      </c>
      <c r="AW45" s="22" t="str" cm="1">
        <f t="array" aca="1" ref="AW45" ca="1">IFERROR(
  _xlfn.XLOOKUP(
    $B45,
    INDIRECT("'[storico profut.xlsm]Consiglio_Week'!B:B"),
    OFFSET( INDIRECT("'[storico profut.xlsm]Consiglio_Week'!$R:$R"), 0, COLUMNS($A:L)-1 )
  ),
  ""
)</f>
        <v/>
      </c>
      <c r="AX45" s="26" t="str" cm="1">
        <f t="array" aca="1" ref="AX45" ca="1">IFERROR(
  _xlfn.XLOOKUP(
    $B45,
    INDIRECT("'[storico profut.xlsm]Consiglio_Week'!B:B"),
    OFFSET( INDIRECT("'[storico profut.xlsm]Consiglio_Week'!$R:$R"), 0, COLUMNS($A:M)-1 )
  ),
  ""
)</f>
        <v/>
      </c>
      <c r="AY45" s="22" t="s">
        <v>633</v>
      </c>
    </row>
    <row r="46" spans="1:51">
      <c r="A46" t="s">
        <v>550</v>
      </c>
      <c r="B46" t="s">
        <v>483</v>
      </c>
      <c r="C46">
        <v>20</v>
      </c>
      <c r="D46">
        <v>2</v>
      </c>
      <c r="E46" s="16">
        <v>0.375</v>
      </c>
      <c r="F46" s="16">
        <v>0.54166666666666663</v>
      </c>
      <c r="G46" s="5"/>
      <c r="H46" s="5" t="s">
        <v>640</v>
      </c>
      <c r="I46" s="5"/>
      <c r="J46" s="5"/>
      <c r="K46" s="5"/>
      <c r="L46" s="5"/>
      <c r="M46" s="5"/>
      <c r="N46" s="5"/>
      <c r="O46" s="5"/>
      <c r="P46" s="5"/>
      <c r="Q46" t="s">
        <v>468</v>
      </c>
      <c r="R46">
        <v>0</v>
      </c>
      <c r="S46" t="s">
        <v>574</v>
      </c>
      <c r="X46" t="s">
        <v>640</v>
      </c>
      <c r="Y46" t="s">
        <v>640</v>
      </c>
      <c r="AH46" t="str" cm="1">
        <f t="array" aca="1" ref="AH46" ca="1">+IFERROR(_xlfn.XLOOKUP($B46,INDIRECT("'[storico profut.xlsm]Consiglio_Week'!$B:$B"),INDIRECT("'[storico profut.xlsm]Consiglio_Week'!$I:$I")),"")</f>
        <v/>
      </c>
      <c r="AI46" t="str" cm="1">
        <f t="array" aca="1" ref="AI46" ca="1">+IFERROR(_xlfn.XLOOKUP($B46,INDIRECT("'[storico profut.xlsm]Consiglio_Week'!$B:$B"),INDIRECT("'[storico profut.xlsm]Consiglio_Week'!$L:$L")),"")</f>
        <v/>
      </c>
      <c r="AJ46" t="str" cm="1">
        <f t="array" aca="1" ref="AJ46" ca="1">+IFERROR(_xlfn.XLOOKUP($B46,INDIRECT("'[storico profut.xlsm]Consiglio_Week'!$B:$B"),INDIRECT("'[storico profut.xlsm]Consiglio_Week'!$M:$M")),"")</f>
        <v/>
      </c>
      <c r="AK46" t="str" cm="1">
        <f t="array" aca="1" ref="AK46" ca="1">+IFERROR(_xlfn.XLOOKUP($B46,INDIRECT("'[storico profut.xlsm]Consiglio_Week'!$B:$B"),INDIRECT("'[storico profut.xlsm]Consiglio_Week'!$P:$P")),"")</f>
        <v/>
      </c>
      <c r="AL46" s="21" t="str" cm="1">
        <f t="array" aca="1" ref="AL46" ca="1">IFERROR(
  _xlfn.XLOOKUP(
    $B46,
    INDIRECT("'[storico profut.xlsm]Consiglio_Week'!B:B"),
    OFFSET( INDIRECT("'[storico profut.xlsm]Consiglio_Week'!$R:$R"), 0, COLUMNS($A:A)-1 )
  ),
  ""
)</f>
        <v/>
      </c>
      <c r="AM46" s="21" t="str" cm="1">
        <f t="array" aca="1" ref="AM46" ca="1">IFERROR(
  _xlfn.XLOOKUP(
    $B46,
    INDIRECT("'[storico profut.xlsm]Consiglio_Week'!B:B"),
    OFFSET( INDIRECT("'[storico profut.xlsm]Consiglio_Week'!$R:$R"), 0, COLUMNS($A:B)-1 )
  ),
  ""
)</f>
        <v/>
      </c>
      <c r="AN46" s="21" t="str" cm="1">
        <f t="array" aca="1" ref="AN46" ca="1">IFERROR(
  _xlfn.XLOOKUP(
    $B46,
    INDIRECT("'[storico profut.xlsm]Consiglio_Week'!B:B"),
    OFFSET( INDIRECT("'[storico profut.xlsm]Consiglio_Week'!$R:$R"), 0, COLUMNS($A:C)-1 )
  ),
  ""
)</f>
        <v/>
      </c>
      <c r="AO46" s="21" t="str" cm="1">
        <f t="array" aca="1" ref="AO46" ca="1">IFERROR(
  _xlfn.XLOOKUP(
    $B46,
    INDIRECT("'[storico profut.xlsm]Consiglio_Week'!B:B"),
    OFFSET( INDIRECT("'[storico profut.xlsm]Consiglio_Week'!$R:$R"), 0, COLUMNS($A:D)-1 )
  ),
  ""
)</f>
        <v/>
      </c>
      <c r="AP46" s="21" t="str" cm="1">
        <f t="array" aca="1" ref="AP46" ca="1">IFERROR(
  _xlfn.XLOOKUP(
    $B46,
    INDIRECT("'[storico profut.xlsm]Consiglio_Week'!B:B"),
    OFFSET( INDIRECT("'[storico profut.xlsm]Consiglio_Week'!$R:$R"), 0, COLUMNS($A:E)-1 )
  ),
  ""
)</f>
        <v/>
      </c>
      <c r="AQ46" s="22" t="str" cm="1">
        <f t="array" aca="1" ref="AQ46" ca="1">IFERROR(
  _xlfn.XLOOKUP(
    $B46,
    INDIRECT("'[storico profut.xlsm]Consiglio_Week'!B:B"),
    OFFSET( INDIRECT("'[storico profut.xlsm]Consiglio_Week'!$R:$R"), 0, COLUMNS($A:F)-1 )
  ),
  ""
)</f>
        <v/>
      </c>
      <c r="AR46" s="21" t="str" cm="1">
        <f t="array" aca="1" ref="AR46" ca="1">IFERROR(
  _xlfn.XLOOKUP(
    $B46,
    INDIRECT("'[storico profut.xlsm]Consiglio_Week'!B:B"),
    OFFSET( INDIRECT("'[storico profut.xlsm]Consiglio_Week'!$R:$R"), 0, COLUMNS($A:G)-1 )
  ),
  ""
)</f>
        <v/>
      </c>
      <c r="AS46" s="21" t="str" cm="1">
        <f t="array" aca="1" ref="AS46" ca="1">IFERROR(
  _xlfn.XLOOKUP(
    $B46,
    INDIRECT("'[storico profut.xlsm]Consiglio_Week'!B:B"),
    OFFSET( INDIRECT("'[storico profut.xlsm]Consiglio_Week'!$R:$R"), 0, COLUMNS($A:H)-1 )
  ),
  ""
)</f>
        <v/>
      </c>
      <c r="AT46" s="21" t="str" cm="1">
        <f t="array" aca="1" ref="AT46" ca="1">IFERROR(
  _xlfn.XLOOKUP(
    $B46,
    INDIRECT("'[storico profut.xlsm]Consiglio_Week'!B:B"),
    OFFSET( INDIRECT("'[storico profut.xlsm]Consiglio_Week'!$R:$R"), 0, COLUMNS($A:I)-1 )
  ),
  ""
)</f>
        <v/>
      </c>
      <c r="AU46" s="22" t="str" cm="1">
        <f t="array" aca="1" ref="AU46" ca="1">IFERROR(
  _xlfn.XLOOKUP(
    $B46,
    INDIRECT("'[storico profut.xlsm]Consiglio_Week'!B:B"),
    OFFSET( INDIRECT("'[storico profut.xlsm]Consiglio_Week'!$R:$R"), 0, COLUMNS($A:J)-1 )
  ),
  ""
)</f>
        <v/>
      </c>
      <c r="AV46" s="22" t="str" cm="1">
        <f t="array" aca="1" ref="AV46" ca="1">IFERROR(
  _xlfn.XLOOKUP(
    $B46,
    INDIRECT("'[storico profut.xlsm]Consiglio_Week'!B:B"),
    OFFSET( INDIRECT("'[storico profut.xlsm]Consiglio_Week'!$R:$R"), 0, COLUMNS($A:K)-1 )
  ),
  ""
)</f>
        <v/>
      </c>
      <c r="AW46" s="22" t="str" cm="1">
        <f t="array" aca="1" ref="AW46" ca="1">IFERROR(
  _xlfn.XLOOKUP(
    $B46,
    INDIRECT("'[storico profut.xlsm]Consiglio_Week'!B:B"),
    OFFSET( INDIRECT("'[storico profut.xlsm]Consiglio_Week'!$R:$R"), 0, COLUMNS($A:L)-1 )
  ),
  ""
)</f>
        <v/>
      </c>
      <c r="AX46" s="26" t="str" cm="1">
        <f t="array" aca="1" ref="AX46" ca="1">IFERROR(
  _xlfn.XLOOKUP(
    $B46,
    INDIRECT("'[storico profut.xlsm]Consiglio_Week'!B:B"),
    OFFSET( INDIRECT("'[storico profut.xlsm]Consiglio_Week'!$R:$R"), 0, COLUMNS($A:M)-1 )
  ),
  ""
)</f>
        <v/>
      </c>
      <c r="AY46" s="22" t="s">
        <v>634</v>
      </c>
    </row>
    <row r="47" spans="1:51">
      <c r="A47" t="s">
        <v>551</v>
      </c>
      <c r="B47" t="s">
        <v>484</v>
      </c>
      <c r="C47">
        <v>20</v>
      </c>
      <c r="D47">
        <v>2</v>
      </c>
      <c r="E47" s="16">
        <v>0.375</v>
      </c>
      <c r="F47" s="16">
        <v>0.54166666666666663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t="s">
        <v>468</v>
      </c>
      <c r="R47">
        <v>0</v>
      </c>
      <c r="S47" t="s">
        <v>574</v>
      </c>
      <c r="AH47" t="str" cm="1">
        <f t="array" aca="1" ref="AH47" ca="1">+IFERROR(_xlfn.XLOOKUP($B47,INDIRECT("'[storico profut.xlsm]Consiglio_Week'!$B:$B"),INDIRECT("'[storico profut.xlsm]Consiglio_Week'!$I:$I")),"")</f>
        <v/>
      </c>
      <c r="AI47" t="str" cm="1">
        <f t="array" aca="1" ref="AI47" ca="1">+IFERROR(_xlfn.XLOOKUP($B47,INDIRECT("'[storico profut.xlsm]Consiglio_Week'!$B:$B"),INDIRECT("'[storico profut.xlsm]Consiglio_Week'!$L:$L")),"")</f>
        <v/>
      </c>
      <c r="AJ47" t="str" cm="1">
        <f t="array" aca="1" ref="AJ47" ca="1">+IFERROR(_xlfn.XLOOKUP($B47,INDIRECT("'[storico profut.xlsm]Consiglio_Week'!$B:$B"),INDIRECT("'[storico profut.xlsm]Consiglio_Week'!$M:$M")),"")</f>
        <v/>
      </c>
      <c r="AK47" t="str" cm="1">
        <f t="array" aca="1" ref="AK47" ca="1">+IFERROR(_xlfn.XLOOKUP($B47,INDIRECT("'[storico profut.xlsm]Consiglio_Week'!$B:$B"),INDIRECT("'[storico profut.xlsm]Consiglio_Week'!$P:$P")),"")</f>
        <v/>
      </c>
      <c r="AL47" s="21" t="str" cm="1">
        <f t="array" aca="1" ref="AL47" ca="1">IFERROR(
  _xlfn.XLOOKUP(
    $B47,
    INDIRECT("'[storico profut.xlsm]Consiglio_Week'!B:B"),
    OFFSET( INDIRECT("'[storico profut.xlsm]Consiglio_Week'!$R:$R"), 0, COLUMNS($A:A)-1 )
  ),
  ""
)</f>
        <v/>
      </c>
      <c r="AM47" s="21" t="str" cm="1">
        <f t="array" aca="1" ref="AM47" ca="1">IFERROR(
  _xlfn.XLOOKUP(
    $B47,
    INDIRECT("'[storico profut.xlsm]Consiglio_Week'!B:B"),
    OFFSET( INDIRECT("'[storico profut.xlsm]Consiglio_Week'!$R:$R"), 0, COLUMNS($A:B)-1 )
  ),
  ""
)</f>
        <v/>
      </c>
      <c r="AN47" s="21" t="str" cm="1">
        <f t="array" aca="1" ref="AN47" ca="1">IFERROR(
  _xlfn.XLOOKUP(
    $B47,
    INDIRECT("'[storico profut.xlsm]Consiglio_Week'!B:B"),
    OFFSET( INDIRECT("'[storico profut.xlsm]Consiglio_Week'!$R:$R"), 0, COLUMNS($A:C)-1 )
  ),
  ""
)</f>
        <v/>
      </c>
      <c r="AO47" s="21" t="str" cm="1">
        <f t="array" aca="1" ref="AO47" ca="1">IFERROR(
  _xlfn.XLOOKUP(
    $B47,
    INDIRECT("'[storico profut.xlsm]Consiglio_Week'!B:B"),
    OFFSET( INDIRECT("'[storico profut.xlsm]Consiglio_Week'!$R:$R"), 0, COLUMNS($A:D)-1 )
  ),
  ""
)</f>
        <v/>
      </c>
      <c r="AP47" s="21" t="str" cm="1">
        <f t="array" aca="1" ref="AP47" ca="1">IFERROR(
  _xlfn.XLOOKUP(
    $B47,
    INDIRECT("'[storico profut.xlsm]Consiglio_Week'!B:B"),
    OFFSET( INDIRECT("'[storico profut.xlsm]Consiglio_Week'!$R:$R"), 0, COLUMNS($A:E)-1 )
  ),
  ""
)</f>
        <v/>
      </c>
      <c r="AQ47" s="22" t="str" cm="1">
        <f t="array" aca="1" ref="AQ47" ca="1">IFERROR(
  _xlfn.XLOOKUP(
    $B47,
    INDIRECT("'[storico profut.xlsm]Consiglio_Week'!B:B"),
    OFFSET( INDIRECT("'[storico profut.xlsm]Consiglio_Week'!$R:$R"), 0, COLUMNS($A:F)-1 )
  ),
  ""
)</f>
        <v/>
      </c>
      <c r="AR47" s="21" t="str" cm="1">
        <f t="array" aca="1" ref="AR47" ca="1">IFERROR(
  _xlfn.XLOOKUP(
    $B47,
    INDIRECT("'[storico profut.xlsm]Consiglio_Week'!B:B"),
    OFFSET( INDIRECT("'[storico profut.xlsm]Consiglio_Week'!$R:$R"), 0, COLUMNS($A:G)-1 )
  ),
  ""
)</f>
        <v/>
      </c>
      <c r="AS47" s="21" t="str" cm="1">
        <f t="array" aca="1" ref="AS47" ca="1">IFERROR(
  _xlfn.XLOOKUP(
    $B47,
    INDIRECT("'[storico profut.xlsm]Consiglio_Week'!B:B"),
    OFFSET( INDIRECT("'[storico profut.xlsm]Consiglio_Week'!$R:$R"), 0, COLUMNS($A:H)-1 )
  ),
  ""
)</f>
        <v/>
      </c>
      <c r="AT47" s="21" t="str" cm="1">
        <f t="array" aca="1" ref="AT47" ca="1">IFERROR(
  _xlfn.XLOOKUP(
    $B47,
    INDIRECT("'[storico profut.xlsm]Consiglio_Week'!B:B"),
    OFFSET( INDIRECT("'[storico profut.xlsm]Consiglio_Week'!$R:$R"), 0, COLUMNS($A:I)-1 )
  ),
  ""
)</f>
        <v/>
      </c>
      <c r="AU47" s="22" t="str" cm="1">
        <f t="array" aca="1" ref="AU47" ca="1">IFERROR(
  _xlfn.XLOOKUP(
    $B47,
    INDIRECT("'[storico profut.xlsm]Consiglio_Week'!B:B"),
    OFFSET( INDIRECT("'[storico profut.xlsm]Consiglio_Week'!$R:$R"), 0, COLUMNS($A:J)-1 )
  ),
  ""
)</f>
        <v/>
      </c>
      <c r="AV47" s="22" t="str" cm="1">
        <f t="array" aca="1" ref="AV47" ca="1">IFERROR(
  _xlfn.XLOOKUP(
    $B47,
    INDIRECT("'[storico profut.xlsm]Consiglio_Week'!B:B"),
    OFFSET( INDIRECT("'[storico profut.xlsm]Consiglio_Week'!$R:$R"), 0, COLUMNS($A:K)-1 )
  ),
  ""
)</f>
        <v/>
      </c>
      <c r="AW47" s="22" t="str" cm="1">
        <f t="array" aca="1" ref="AW47" ca="1">IFERROR(
  _xlfn.XLOOKUP(
    $B47,
    INDIRECT("'[storico profut.xlsm]Consiglio_Week'!B:B"),
    OFFSET( INDIRECT("'[storico profut.xlsm]Consiglio_Week'!$R:$R"), 0, COLUMNS($A:L)-1 )
  ),
  ""
)</f>
        <v/>
      </c>
      <c r="AX47" s="26" t="str" cm="1">
        <f t="array" aca="1" ref="AX47" ca="1">IFERROR(
  _xlfn.XLOOKUP(
    $B47,
    INDIRECT("'[storico profut.xlsm]Consiglio_Week'!B:B"),
    OFFSET( INDIRECT("'[storico profut.xlsm]Consiglio_Week'!$R:$R"), 0, COLUMNS($A:M)-1 )
  ),
  ""
)</f>
        <v/>
      </c>
      <c r="AY47" s="22" t="s">
        <v>634</v>
      </c>
    </row>
    <row r="48" spans="1:51">
      <c r="A48" t="s">
        <v>552</v>
      </c>
      <c r="B48" t="s">
        <v>485</v>
      </c>
      <c r="C48">
        <v>21</v>
      </c>
      <c r="D48">
        <v>2</v>
      </c>
      <c r="E48" s="6">
        <v>0.625</v>
      </c>
      <c r="F48" s="6">
        <v>0.875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t="s">
        <v>472</v>
      </c>
      <c r="R48">
        <v>2</v>
      </c>
      <c r="S48" t="s">
        <v>574</v>
      </c>
      <c r="AH48" t="str" cm="1">
        <f t="array" aca="1" ref="AH48" ca="1">+IFERROR(_xlfn.XLOOKUP($B48,INDIRECT("'[storico profut.xlsm]Consiglio_Week'!$B:$B"),INDIRECT("'[storico profut.xlsm]Consiglio_Week'!$I:$I")),"")</f>
        <v/>
      </c>
      <c r="AI48" t="str" cm="1">
        <f t="array" aca="1" ref="AI48" ca="1">+IFERROR(_xlfn.XLOOKUP($B48,INDIRECT("'[storico profut.xlsm]Consiglio_Week'!$B:$B"),INDIRECT("'[storico profut.xlsm]Consiglio_Week'!$L:$L")),"")</f>
        <v/>
      </c>
      <c r="AJ48" t="str" cm="1">
        <f t="array" aca="1" ref="AJ48" ca="1">+IFERROR(_xlfn.XLOOKUP($B48,INDIRECT("'[storico profut.xlsm]Consiglio_Week'!$B:$B"),INDIRECT("'[storico profut.xlsm]Consiglio_Week'!$M:$M")),"")</f>
        <v/>
      </c>
      <c r="AK48" t="str" cm="1">
        <f t="array" aca="1" ref="AK48" ca="1">+IFERROR(_xlfn.XLOOKUP($B48,INDIRECT("'[storico profut.xlsm]Consiglio_Week'!$B:$B"),INDIRECT("'[storico profut.xlsm]Consiglio_Week'!$P:$P")),"")</f>
        <v/>
      </c>
      <c r="AL48" s="21" t="str" cm="1">
        <f t="array" aca="1" ref="AL48" ca="1">IFERROR(
  _xlfn.XLOOKUP(
    $B48,
    INDIRECT("'[storico profut.xlsm]Consiglio_Week'!B:B"),
    OFFSET( INDIRECT("'[storico profut.xlsm]Consiglio_Week'!$R:$R"), 0, COLUMNS($A:A)-1 )
  ),
  ""
)</f>
        <v/>
      </c>
      <c r="AM48" s="21" t="str" cm="1">
        <f t="array" aca="1" ref="AM48" ca="1">IFERROR(
  _xlfn.XLOOKUP(
    $B48,
    INDIRECT("'[storico profut.xlsm]Consiglio_Week'!B:B"),
    OFFSET( INDIRECT("'[storico profut.xlsm]Consiglio_Week'!$R:$R"), 0, COLUMNS($A:B)-1 )
  ),
  ""
)</f>
        <v/>
      </c>
      <c r="AN48" s="21" t="str" cm="1">
        <f t="array" aca="1" ref="AN48" ca="1">IFERROR(
  _xlfn.XLOOKUP(
    $B48,
    INDIRECT("'[storico profut.xlsm]Consiglio_Week'!B:B"),
    OFFSET( INDIRECT("'[storico profut.xlsm]Consiglio_Week'!$R:$R"), 0, COLUMNS($A:C)-1 )
  ),
  ""
)</f>
        <v/>
      </c>
      <c r="AO48" s="21" t="str" cm="1">
        <f t="array" aca="1" ref="AO48" ca="1">IFERROR(
  _xlfn.XLOOKUP(
    $B48,
    INDIRECT("'[storico profut.xlsm]Consiglio_Week'!B:B"),
    OFFSET( INDIRECT("'[storico profut.xlsm]Consiglio_Week'!$R:$R"), 0, COLUMNS($A:D)-1 )
  ),
  ""
)</f>
        <v/>
      </c>
      <c r="AP48" s="21" t="str" cm="1">
        <f t="array" aca="1" ref="AP48" ca="1">IFERROR(
  _xlfn.XLOOKUP(
    $B48,
    INDIRECT("'[storico profut.xlsm]Consiglio_Week'!B:B"),
    OFFSET( INDIRECT("'[storico profut.xlsm]Consiglio_Week'!$R:$R"), 0, COLUMNS($A:E)-1 )
  ),
  ""
)</f>
        <v/>
      </c>
      <c r="AQ48" s="22" t="str" cm="1">
        <f t="array" aca="1" ref="AQ48" ca="1">IFERROR(
  _xlfn.XLOOKUP(
    $B48,
    INDIRECT("'[storico profut.xlsm]Consiglio_Week'!B:B"),
    OFFSET( INDIRECT("'[storico profut.xlsm]Consiglio_Week'!$R:$R"), 0, COLUMNS($A:F)-1 )
  ),
  ""
)</f>
        <v/>
      </c>
      <c r="AR48" s="21" t="str" cm="1">
        <f t="array" aca="1" ref="AR48" ca="1">IFERROR(
  _xlfn.XLOOKUP(
    $B48,
    INDIRECT("'[storico profut.xlsm]Consiglio_Week'!B:B"),
    OFFSET( INDIRECT("'[storico profut.xlsm]Consiglio_Week'!$R:$R"), 0, COLUMNS($A:G)-1 )
  ),
  ""
)</f>
        <v/>
      </c>
      <c r="AS48" s="21" t="str" cm="1">
        <f t="array" aca="1" ref="AS48" ca="1">IFERROR(
  _xlfn.XLOOKUP(
    $B48,
    INDIRECT("'[storico profut.xlsm]Consiglio_Week'!B:B"),
    OFFSET( INDIRECT("'[storico profut.xlsm]Consiglio_Week'!$R:$R"), 0, COLUMNS($A:H)-1 )
  ),
  ""
)</f>
        <v/>
      </c>
      <c r="AT48" s="21" t="str" cm="1">
        <f t="array" aca="1" ref="AT48" ca="1">IFERROR(
  _xlfn.XLOOKUP(
    $B48,
    INDIRECT("'[storico profut.xlsm]Consiglio_Week'!B:B"),
    OFFSET( INDIRECT("'[storico profut.xlsm]Consiglio_Week'!$R:$R"), 0, COLUMNS($A:I)-1 )
  ),
  ""
)</f>
        <v/>
      </c>
      <c r="AU48" s="22" t="str" cm="1">
        <f t="array" aca="1" ref="AU48" ca="1">IFERROR(
  _xlfn.XLOOKUP(
    $B48,
    INDIRECT("'[storico profut.xlsm]Consiglio_Week'!B:B"),
    OFFSET( INDIRECT("'[storico profut.xlsm]Consiglio_Week'!$R:$R"), 0, COLUMNS($A:J)-1 )
  ),
  ""
)</f>
        <v/>
      </c>
      <c r="AV48" s="22" t="str" cm="1">
        <f t="array" aca="1" ref="AV48" ca="1">IFERROR(
  _xlfn.XLOOKUP(
    $B48,
    INDIRECT("'[storico profut.xlsm]Consiglio_Week'!B:B"),
    OFFSET( INDIRECT("'[storico profut.xlsm]Consiglio_Week'!$R:$R"), 0, COLUMNS($A:K)-1 )
  ),
  ""
)</f>
        <v/>
      </c>
      <c r="AW48" s="22" t="str" cm="1">
        <f t="array" aca="1" ref="AW48" ca="1">IFERROR(
  _xlfn.XLOOKUP(
    $B48,
    INDIRECT("'[storico profut.xlsm]Consiglio_Week'!B:B"),
    OFFSET( INDIRECT("'[storico profut.xlsm]Consiglio_Week'!$R:$R"), 0, COLUMNS($A:L)-1 )
  ),
  ""
)</f>
        <v/>
      </c>
      <c r="AX48" s="26" t="str" cm="1">
        <f t="array" aca="1" ref="AX48" ca="1">IFERROR(
  _xlfn.XLOOKUP(
    $B48,
    INDIRECT("'[storico profut.xlsm]Consiglio_Week'!B:B"),
    OFFSET( INDIRECT("'[storico profut.xlsm]Consiglio_Week'!$R:$R"), 0, COLUMNS($A:M)-1 )
  ),
  ""
)</f>
        <v/>
      </c>
      <c r="AY48" s="22" t="s">
        <v>635</v>
      </c>
    </row>
    <row r="49" spans="1:51">
      <c r="A49" t="s">
        <v>553</v>
      </c>
      <c r="B49" t="s">
        <v>487</v>
      </c>
      <c r="C49">
        <v>20</v>
      </c>
      <c r="D49">
        <v>2</v>
      </c>
      <c r="E49" s="6">
        <v>0.375</v>
      </c>
      <c r="F49" s="6">
        <v>0.625</v>
      </c>
      <c r="G49" s="15"/>
      <c r="H49" s="5"/>
      <c r="I49" s="5"/>
      <c r="J49" s="5"/>
      <c r="K49" s="5"/>
      <c r="L49" s="5"/>
      <c r="M49" s="5"/>
      <c r="N49" s="5"/>
      <c r="O49" s="5"/>
      <c r="P49" s="5"/>
      <c r="Q49" t="s">
        <v>468</v>
      </c>
      <c r="R49">
        <v>2</v>
      </c>
      <c r="S49" t="s">
        <v>574</v>
      </c>
      <c r="AH49" t="str" cm="1">
        <f t="array" aca="1" ref="AH49" ca="1">+IFERROR(_xlfn.XLOOKUP($B49,INDIRECT("'[storico profut.xlsm]Consiglio_Week'!$B:$B"),INDIRECT("'[storico profut.xlsm]Consiglio_Week'!$I:$I")),"")</f>
        <v/>
      </c>
      <c r="AI49" t="str" cm="1">
        <f t="array" aca="1" ref="AI49" ca="1">+IFERROR(_xlfn.XLOOKUP($B49,INDIRECT("'[storico profut.xlsm]Consiglio_Week'!$B:$B"),INDIRECT("'[storico profut.xlsm]Consiglio_Week'!$L:$L")),"")</f>
        <v/>
      </c>
      <c r="AJ49" t="str" cm="1">
        <f t="array" aca="1" ref="AJ49" ca="1">+IFERROR(_xlfn.XLOOKUP($B49,INDIRECT("'[storico profut.xlsm]Consiglio_Week'!$B:$B"),INDIRECT("'[storico profut.xlsm]Consiglio_Week'!$M:$M")),"")</f>
        <v/>
      </c>
      <c r="AK49" t="str" cm="1">
        <f t="array" aca="1" ref="AK49" ca="1">+IFERROR(_xlfn.XLOOKUP($B49,INDIRECT("'[storico profut.xlsm]Consiglio_Week'!$B:$B"),INDIRECT("'[storico profut.xlsm]Consiglio_Week'!$P:$P")),"")</f>
        <v/>
      </c>
      <c r="AL49" s="21" t="str" cm="1">
        <f t="array" aca="1" ref="AL49" ca="1">IFERROR(
  _xlfn.XLOOKUP(
    $B49,
    INDIRECT("'[storico profut.xlsm]Consiglio_Week'!B:B"),
    OFFSET( INDIRECT("'[storico profut.xlsm]Consiglio_Week'!$R:$R"), 0, COLUMNS($A:A)-1 )
  ),
  ""
)</f>
        <v/>
      </c>
      <c r="AM49" s="21" t="str" cm="1">
        <f t="array" aca="1" ref="AM49" ca="1">IFERROR(
  _xlfn.XLOOKUP(
    $B49,
    INDIRECT("'[storico profut.xlsm]Consiglio_Week'!B:B"),
    OFFSET( INDIRECT("'[storico profut.xlsm]Consiglio_Week'!$R:$R"), 0, COLUMNS($A:B)-1 )
  ),
  ""
)</f>
        <v/>
      </c>
      <c r="AN49" s="21" t="str" cm="1">
        <f t="array" aca="1" ref="AN49" ca="1">IFERROR(
  _xlfn.XLOOKUP(
    $B49,
    INDIRECT("'[storico profut.xlsm]Consiglio_Week'!B:B"),
    OFFSET( INDIRECT("'[storico profut.xlsm]Consiglio_Week'!$R:$R"), 0, COLUMNS($A:C)-1 )
  ),
  ""
)</f>
        <v/>
      </c>
      <c r="AO49" s="21" t="str" cm="1">
        <f t="array" aca="1" ref="AO49" ca="1">IFERROR(
  _xlfn.XLOOKUP(
    $B49,
    INDIRECT("'[storico profut.xlsm]Consiglio_Week'!B:B"),
    OFFSET( INDIRECT("'[storico profut.xlsm]Consiglio_Week'!$R:$R"), 0, COLUMNS($A:D)-1 )
  ),
  ""
)</f>
        <v/>
      </c>
      <c r="AP49" s="21" t="str" cm="1">
        <f t="array" aca="1" ref="AP49" ca="1">IFERROR(
  _xlfn.XLOOKUP(
    $B49,
    INDIRECT("'[storico profut.xlsm]Consiglio_Week'!B:B"),
    OFFSET( INDIRECT("'[storico profut.xlsm]Consiglio_Week'!$R:$R"), 0, COLUMNS($A:E)-1 )
  ),
  ""
)</f>
        <v/>
      </c>
      <c r="AQ49" s="22" t="str" cm="1">
        <f t="array" aca="1" ref="AQ49" ca="1">IFERROR(
  _xlfn.XLOOKUP(
    $B49,
    INDIRECT("'[storico profut.xlsm]Consiglio_Week'!B:B"),
    OFFSET( INDIRECT("'[storico profut.xlsm]Consiglio_Week'!$R:$R"), 0, COLUMNS($A:F)-1 )
  ),
  ""
)</f>
        <v/>
      </c>
      <c r="AR49" s="21" t="str" cm="1">
        <f t="array" aca="1" ref="AR49" ca="1">IFERROR(
  _xlfn.XLOOKUP(
    $B49,
    INDIRECT("'[storico profut.xlsm]Consiglio_Week'!B:B"),
    OFFSET( INDIRECT("'[storico profut.xlsm]Consiglio_Week'!$R:$R"), 0, COLUMNS($A:G)-1 )
  ),
  ""
)</f>
        <v/>
      </c>
      <c r="AS49" s="21" t="str" cm="1">
        <f t="array" aca="1" ref="AS49" ca="1">IFERROR(
  _xlfn.XLOOKUP(
    $B49,
    INDIRECT("'[storico profut.xlsm]Consiglio_Week'!B:B"),
    OFFSET( INDIRECT("'[storico profut.xlsm]Consiglio_Week'!$R:$R"), 0, COLUMNS($A:H)-1 )
  ),
  ""
)</f>
        <v/>
      </c>
      <c r="AT49" s="21" t="str" cm="1">
        <f t="array" aca="1" ref="AT49" ca="1">IFERROR(
  _xlfn.XLOOKUP(
    $B49,
    INDIRECT("'[storico profut.xlsm]Consiglio_Week'!B:B"),
    OFFSET( INDIRECT("'[storico profut.xlsm]Consiglio_Week'!$R:$R"), 0, COLUMNS($A:I)-1 )
  ),
  ""
)</f>
        <v/>
      </c>
      <c r="AU49" s="22" t="str" cm="1">
        <f t="array" aca="1" ref="AU49" ca="1">IFERROR(
  _xlfn.XLOOKUP(
    $B49,
    INDIRECT("'[storico profut.xlsm]Consiglio_Week'!B:B"),
    OFFSET( INDIRECT("'[storico profut.xlsm]Consiglio_Week'!$R:$R"), 0, COLUMNS($A:J)-1 )
  ),
  ""
)</f>
        <v/>
      </c>
      <c r="AV49" s="22" t="str" cm="1">
        <f t="array" aca="1" ref="AV49" ca="1">IFERROR(
  _xlfn.XLOOKUP(
    $B49,
    INDIRECT("'[storico profut.xlsm]Consiglio_Week'!B:B"),
    OFFSET( INDIRECT("'[storico profut.xlsm]Consiglio_Week'!$R:$R"), 0, COLUMNS($A:K)-1 )
  ),
  ""
)</f>
        <v/>
      </c>
      <c r="AW49" s="22" t="str" cm="1">
        <f t="array" aca="1" ref="AW49" ca="1">IFERROR(
  _xlfn.XLOOKUP(
    $B49,
    INDIRECT("'[storico profut.xlsm]Consiglio_Week'!B:B"),
    OFFSET( INDIRECT("'[storico profut.xlsm]Consiglio_Week'!$R:$R"), 0, COLUMNS($A:L)-1 )
  ),
  ""
)</f>
        <v/>
      </c>
      <c r="AX49" s="26" t="str" cm="1">
        <f t="array" aca="1" ref="AX49" ca="1">IFERROR(
  _xlfn.XLOOKUP(
    $B49,
    INDIRECT("'[storico profut.xlsm]Consiglio_Week'!B:B"),
    OFFSET( INDIRECT("'[storico profut.xlsm]Consiglio_Week'!$R:$R"), 0, COLUMNS($A:M)-1 )
  ),
  ""
)</f>
        <v/>
      </c>
      <c r="AY49" s="22">
        <v>0</v>
      </c>
    </row>
    <row r="50" spans="1:51">
      <c r="A50" t="s">
        <v>554</v>
      </c>
      <c r="B50" t="s">
        <v>488</v>
      </c>
      <c r="C50">
        <v>20</v>
      </c>
      <c r="D50">
        <v>2</v>
      </c>
      <c r="E50" s="6">
        <v>0.625</v>
      </c>
      <c r="F50" s="6">
        <v>0.875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t="s">
        <v>468</v>
      </c>
      <c r="R50">
        <v>2</v>
      </c>
      <c r="S50" t="s">
        <v>574</v>
      </c>
      <c r="AH50" t="str" cm="1">
        <f t="array" aca="1" ref="AH50" ca="1">+IFERROR(_xlfn.XLOOKUP($B50,INDIRECT("'[storico profut.xlsm]Consiglio_Week'!$B:$B"),INDIRECT("'[storico profut.xlsm]Consiglio_Week'!$I:$I")),"")</f>
        <v/>
      </c>
      <c r="AI50" t="str" cm="1">
        <f t="array" aca="1" ref="AI50" ca="1">+IFERROR(_xlfn.XLOOKUP($B50,INDIRECT("'[storico profut.xlsm]Consiglio_Week'!$B:$B"),INDIRECT("'[storico profut.xlsm]Consiglio_Week'!$L:$L")),"")</f>
        <v/>
      </c>
      <c r="AJ50" t="str" cm="1">
        <f t="array" aca="1" ref="AJ50" ca="1">+IFERROR(_xlfn.XLOOKUP($B50,INDIRECT("'[storico profut.xlsm]Consiglio_Week'!$B:$B"),INDIRECT("'[storico profut.xlsm]Consiglio_Week'!$M:$M")),"")</f>
        <v/>
      </c>
      <c r="AK50" t="str" cm="1">
        <f t="array" aca="1" ref="AK50" ca="1">+IFERROR(_xlfn.XLOOKUP($B50,INDIRECT("'[storico profut.xlsm]Consiglio_Week'!$B:$B"),INDIRECT("'[storico profut.xlsm]Consiglio_Week'!$P:$P")),"")</f>
        <v/>
      </c>
      <c r="AL50" s="21" t="str" cm="1">
        <f t="array" aca="1" ref="AL50" ca="1">IFERROR(
  _xlfn.XLOOKUP(
    $B50,
    INDIRECT("'[storico profut.xlsm]Consiglio_Week'!B:B"),
    OFFSET( INDIRECT("'[storico profut.xlsm]Consiglio_Week'!$R:$R"), 0, COLUMNS($A:A)-1 )
  ),
  ""
)</f>
        <v/>
      </c>
      <c r="AM50" s="21" t="str" cm="1">
        <f t="array" aca="1" ref="AM50" ca="1">IFERROR(
  _xlfn.XLOOKUP(
    $B50,
    INDIRECT("'[storico profut.xlsm]Consiglio_Week'!B:B"),
    OFFSET( INDIRECT("'[storico profut.xlsm]Consiglio_Week'!$R:$R"), 0, COLUMNS($A:B)-1 )
  ),
  ""
)</f>
        <v/>
      </c>
      <c r="AN50" s="21" t="str" cm="1">
        <f t="array" aca="1" ref="AN50" ca="1">IFERROR(
  _xlfn.XLOOKUP(
    $B50,
    INDIRECT("'[storico profut.xlsm]Consiglio_Week'!B:B"),
    OFFSET( INDIRECT("'[storico profut.xlsm]Consiglio_Week'!$R:$R"), 0, COLUMNS($A:C)-1 )
  ),
  ""
)</f>
        <v/>
      </c>
      <c r="AO50" s="21" t="str" cm="1">
        <f t="array" aca="1" ref="AO50" ca="1">IFERROR(
  _xlfn.XLOOKUP(
    $B50,
    INDIRECT("'[storico profut.xlsm]Consiglio_Week'!B:B"),
    OFFSET( INDIRECT("'[storico profut.xlsm]Consiglio_Week'!$R:$R"), 0, COLUMNS($A:D)-1 )
  ),
  ""
)</f>
        <v/>
      </c>
      <c r="AP50" s="21" t="str" cm="1">
        <f t="array" aca="1" ref="AP50" ca="1">IFERROR(
  _xlfn.XLOOKUP(
    $B50,
    INDIRECT("'[storico profut.xlsm]Consiglio_Week'!B:B"),
    OFFSET( INDIRECT("'[storico profut.xlsm]Consiglio_Week'!$R:$R"), 0, COLUMNS($A:E)-1 )
  ),
  ""
)</f>
        <v/>
      </c>
      <c r="AQ50" s="22" t="str" cm="1">
        <f t="array" aca="1" ref="AQ50" ca="1">IFERROR(
  _xlfn.XLOOKUP(
    $B50,
    INDIRECT("'[storico profut.xlsm]Consiglio_Week'!B:B"),
    OFFSET( INDIRECT("'[storico profut.xlsm]Consiglio_Week'!$R:$R"), 0, COLUMNS($A:F)-1 )
  ),
  ""
)</f>
        <v/>
      </c>
      <c r="AR50" s="21" t="str" cm="1">
        <f t="array" aca="1" ref="AR50" ca="1">IFERROR(
  _xlfn.XLOOKUP(
    $B50,
    INDIRECT("'[storico profut.xlsm]Consiglio_Week'!B:B"),
    OFFSET( INDIRECT("'[storico profut.xlsm]Consiglio_Week'!$R:$R"), 0, COLUMNS($A:G)-1 )
  ),
  ""
)</f>
        <v/>
      </c>
      <c r="AS50" s="21" t="str" cm="1">
        <f t="array" aca="1" ref="AS50" ca="1">IFERROR(
  _xlfn.XLOOKUP(
    $B50,
    INDIRECT("'[storico profut.xlsm]Consiglio_Week'!B:B"),
    OFFSET( INDIRECT("'[storico profut.xlsm]Consiglio_Week'!$R:$R"), 0, COLUMNS($A:H)-1 )
  ),
  ""
)</f>
        <v/>
      </c>
      <c r="AT50" s="21" t="str" cm="1">
        <f t="array" aca="1" ref="AT50" ca="1">IFERROR(
  _xlfn.XLOOKUP(
    $B50,
    INDIRECT("'[storico profut.xlsm]Consiglio_Week'!B:B"),
    OFFSET( INDIRECT("'[storico profut.xlsm]Consiglio_Week'!$R:$R"), 0, COLUMNS($A:I)-1 )
  ),
  ""
)</f>
        <v/>
      </c>
      <c r="AU50" s="22" t="str" cm="1">
        <f t="array" aca="1" ref="AU50" ca="1">IFERROR(
  _xlfn.XLOOKUP(
    $B50,
    INDIRECT("'[storico profut.xlsm]Consiglio_Week'!B:B"),
    OFFSET( INDIRECT("'[storico profut.xlsm]Consiglio_Week'!$R:$R"), 0, COLUMNS($A:J)-1 )
  ),
  ""
)</f>
        <v/>
      </c>
      <c r="AV50" s="22" t="str" cm="1">
        <f t="array" aca="1" ref="AV50" ca="1">IFERROR(
  _xlfn.XLOOKUP(
    $B50,
    INDIRECT("'[storico profut.xlsm]Consiglio_Week'!B:B"),
    OFFSET( INDIRECT("'[storico profut.xlsm]Consiglio_Week'!$R:$R"), 0, COLUMNS($A:K)-1 )
  ),
  ""
)</f>
        <v/>
      </c>
      <c r="AW50" s="22" t="str" cm="1">
        <f t="array" aca="1" ref="AW50" ca="1">IFERROR(
  _xlfn.XLOOKUP(
    $B50,
    INDIRECT("'[storico profut.xlsm]Consiglio_Week'!B:B"),
    OFFSET( INDIRECT("'[storico profut.xlsm]Consiglio_Week'!$R:$R"), 0, COLUMNS($A:L)-1 )
  ),
  ""
)</f>
        <v/>
      </c>
      <c r="AX50" s="26" t="str" cm="1">
        <f t="array" aca="1" ref="AX50" ca="1">IFERROR(
  _xlfn.XLOOKUP(
    $B50,
    INDIRECT("'[storico profut.xlsm]Consiglio_Week'!B:B"),
    OFFSET( INDIRECT("'[storico profut.xlsm]Consiglio_Week'!$R:$R"), 0, COLUMNS($A:M)-1 )
  ),
  ""
)</f>
        <v/>
      </c>
      <c r="AY50" s="22">
        <v>0</v>
      </c>
    </row>
    <row r="51" spans="1:51">
      <c r="A51" t="s">
        <v>555</v>
      </c>
      <c r="B51" t="s">
        <v>489</v>
      </c>
      <c r="C51">
        <v>20</v>
      </c>
      <c r="D51">
        <v>2</v>
      </c>
      <c r="E51" s="6">
        <v>0.375</v>
      </c>
      <c r="F51" s="6">
        <v>0.625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t="s">
        <v>468</v>
      </c>
      <c r="R51">
        <v>2</v>
      </c>
      <c r="S51" t="s">
        <v>574</v>
      </c>
      <c r="AH51" t="str" cm="1">
        <f t="array" aca="1" ref="AH51" ca="1">+IFERROR(_xlfn.XLOOKUP($B51,INDIRECT("'[storico profut.xlsm]Consiglio_Week'!$B:$B"),INDIRECT("'[storico profut.xlsm]Consiglio_Week'!$I:$I")),"")</f>
        <v/>
      </c>
      <c r="AI51" t="str" cm="1">
        <f t="array" aca="1" ref="AI51" ca="1">+IFERROR(_xlfn.XLOOKUP($B51,INDIRECT("'[storico profut.xlsm]Consiglio_Week'!$B:$B"),INDIRECT("'[storico profut.xlsm]Consiglio_Week'!$L:$L")),"")</f>
        <v/>
      </c>
      <c r="AJ51" t="str" cm="1">
        <f t="array" aca="1" ref="AJ51" ca="1">+IFERROR(_xlfn.XLOOKUP($B51,INDIRECT("'[storico profut.xlsm]Consiglio_Week'!$B:$B"),INDIRECT("'[storico profut.xlsm]Consiglio_Week'!$M:$M")),"")</f>
        <v/>
      </c>
      <c r="AK51" t="str" cm="1">
        <f t="array" aca="1" ref="AK51" ca="1">+IFERROR(_xlfn.XLOOKUP($B51,INDIRECT("'[storico profut.xlsm]Consiglio_Week'!$B:$B"),INDIRECT("'[storico profut.xlsm]Consiglio_Week'!$P:$P")),"")</f>
        <v/>
      </c>
      <c r="AL51" s="21" t="str" cm="1">
        <f t="array" aca="1" ref="AL51" ca="1">IFERROR(
  _xlfn.XLOOKUP(
    $B51,
    INDIRECT("'[storico profut.xlsm]Consiglio_Week'!B:B"),
    OFFSET( INDIRECT("'[storico profut.xlsm]Consiglio_Week'!$R:$R"), 0, COLUMNS($A:A)-1 )
  ),
  ""
)</f>
        <v/>
      </c>
      <c r="AM51" s="21" t="str" cm="1">
        <f t="array" aca="1" ref="AM51" ca="1">IFERROR(
  _xlfn.XLOOKUP(
    $B51,
    INDIRECT("'[storico profut.xlsm]Consiglio_Week'!B:B"),
    OFFSET( INDIRECT("'[storico profut.xlsm]Consiglio_Week'!$R:$R"), 0, COLUMNS($A:B)-1 )
  ),
  ""
)</f>
        <v/>
      </c>
      <c r="AN51" s="21" t="str" cm="1">
        <f t="array" aca="1" ref="AN51" ca="1">IFERROR(
  _xlfn.XLOOKUP(
    $B51,
    INDIRECT("'[storico profut.xlsm]Consiglio_Week'!B:B"),
    OFFSET( INDIRECT("'[storico profut.xlsm]Consiglio_Week'!$R:$R"), 0, COLUMNS($A:C)-1 )
  ),
  ""
)</f>
        <v/>
      </c>
      <c r="AO51" s="21" t="str" cm="1">
        <f t="array" aca="1" ref="AO51" ca="1">IFERROR(
  _xlfn.XLOOKUP(
    $B51,
    INDIRECT("'[storico profut.xlsm]Consiglio_Week'!B:B"),
    OFFSET( INDIRECT("'[storico profut.xlsm]Consiglio_Week'!$R:$R"), 0, COLUMNS($A:D)-1 )
  ),
  ""
)</f>
        <v/>
      </c>
      <c r="AP51" s="21" t="str" cm="1">
        <f t="array" aca="1" ref="AP51" ca="1">IFERROR(
  _xlfn.XLOOKUP(
    $B51,
    INDIRECT("'[storico profut.xlsm]Consiglio_Week'!B:B"),
    OFFSET( INDIRECT("'[storico profut.xlsm]Consiglio_Week'!$R:$R"), 0, COLUMNS($A:E)-1 )
  ),
  ""
)</f>
        <v/>
      </c>
      <c r="AQ51" s="22" t="str" cm="1">
        <f t="array" aca="1" ref="AQ51" ca="1">IFERROR(
  _xlfn.XLOOKUP(
    $B51,
    INDIRECT("'[storico profut.xlsm]Consiglio_Week'!B:B"),
    OFFSET( INDIRECT("'[storico profut.xlsm]Consiglio_Week'!$R:$R"), 0, COLUMNS($A:F)-1 )
  ),
  ""
)</f>
        <v/>
      </c>
      <c r="AR51" s="21" t="str" cm="1">
        <f t="array" aca="1" ref="AR51" ca="1">IFERROR(
  _xlfn.XLOOKUP(
    $B51,
    INDIRECT("'[storico profut.xlsm]Consiglio_Week'!B:B"),
    OFFSET( INDIRECT("'[storico profut.xlsm]Consiglio_Week'!$R:$R"), 0, COLUMNS($A:G)-1 )
  ),
  ""
)</f>
        <v/>
      </c>
      <c r="AS51" s="21" t="str" cm="1">
        <f t="array" aca="1" ref="AS51" ca="1">IFERROR(
  _xlfn.XLOOKUP(
    $B51,
    INDIRECT("'[storico profut.xlsm]Consiglio_Week'!B:B"),
    OFFSET( INDIRECT("'[storico profut.xlsm]Consiglio_Week'!$R:$R"), 0, COLUMNS($A:H)-1 )
  ),
  ""
)</f>
        <v/>
      </c>
      <c r="AT51" s="21" t="str" cm="1">
        <f t="array" aca="1" ref="AT51" ca="1">IFERROR(
  _xlfn.XLOOKUP(
    $B51,
    INDIRECT("'[storico profut.xlsm]Consiglio_Week'!B:B"),
    OFFSET( INDIRECT("'[storico profut.xlsm]Consiglio_Week'!$R:$R"), 0, COLUMNS($A:I)-1 )
  ),
  ""
)</f>
        <v/>
      </c>
      <c r="AU51" s="22" t="str" cm="1">
        <f t="array" aca="1" ref="AU51" ca="1">IFERROR(
  _xlfn.XLOOKUP(
    $B51,
    INDIRECT("'[storico profut.xlsm]Consiglio_Week'!B:B"),
    OFFSET( INDIRECT("'[storico profut.xlsm]Consiglio_Week'!$R:$R"), 0, COLUMNS($A:J)-1 )
  ),
  ""
)</f>
        <v/>
      </c>
      <c r="AV51" s="22" t="str" cm="1">
        <f t="array" aca="1" ref="AV51" ca="1">IFERROR(
  _xlfn.XLOOKUP(
    $B51,
    INDIRECT("'[storico profut.xlsm]Consiglio_Week'!B:B"),
    OFFSET( INDIRECT("'[storico profut.xlsm]Consiglio_Week'!$R:$R"), 0, COLUMNS($A:K)-1 )
  ),
  ""
)</f>
        <v/>
      </c>
      <c r="AW51" s="22" t="str" cm="1">
        <f t="array" aca="1" ref="AW51" ca="1">IFERROR(
  _xlfn.XLOOKUP(
    $B51,
    INDIRECT("'[storico profut.xlsm]Consiglio_Week'!B:B"),
    OFFSET( INDIRECT("'[storico profut.xlsm]Consiglio_Week'!$R:$R"), 0, COLUMNS($A:L)-1 )
  ),
  ""
)</f>
        <v/>
      </c>
      <c r="AX51" s="26" t="str" cm="1">
        <f t="array" aca="1" ref="AX51" ca="1">IFERROR(
  _xlfn.XLOOKUP(
    $B51,
    INDIRECT("'[storico profut.xlsm]Consiglio_Week'!B:B"),
    OFFSET( INDIRECT("'[storico profut.xlsm]Consiglio_Week'!$R:$R"), 0, COLUMNS($A:M)-1 )
  ),
  ""
)</f>
        <v/>
      </c>
      <c r="AY51" s="22">
        <v>0</v>
      </c>
    </row>
    <row r="52" spans="1:51">
      <c r="A52" t="s">
        <v>556</v>
      </c>
      <c r="B52" t="s">
        <v>504</v>
      </c>
      <c r="C52">
        <v>21</v>
      </c>
      <c r="D52">
        <v>2</v>
      </c>
      <c r="E52" s="6">
        <v>0.625</v>
      </c>
      <c r="F52" s="6">
        <v>0.875</v>
      </c>
      <c r="G52" s="15" t="s">
        <v>640</v>
      </c>
      <c r="H52" s="15" t="s">
        <v>640</v>
      </c>
      <c r="I52" s="5"/>
      <c r="J52" s="5"/>
      <c r="K52" s="5"/>
      <c r="L52" s="5"/>
      <c r="M52" s="5"/>
      <c r="N52" s="5"/>
      <c r="O52" s="5"/>
      <c r="P52" s="5"/>
      <c r="Q52" t="s">
        <v>472</v>
      </c>
      <c r="R52">
        <v>2</v>
      </c>
      <c r="S52" t="s">
        <v>574</v>
      </c>
      <c r="AH52" t="str" cm="1">
        <f t="array" aca="1" ref="AH52" ca="1">+IFERROR(_xlfn.XLOOKUP($B52,INDIRECT("'[storico profut.xlsm]Consiglio_Week'!$B:$B"),INDIRECT("'[storico profut.xlsm]Consiglio_Week'!$I:$I")),"")</f>
        <v/>
      </c>
      <c r="AI52" t="str" cm="1">
        <f t="array" aca="1" ref="AI52" ca="1">+IFERROR(_xlfn.XLOOKUP($B52,INDIRECT("'[storico profut.xlsm]Consiglio_Week'!$B:$B"),INDIRECT("'[storico profut.xlsm]Consiglio_Week'!$L:$L")),"")</f>
        <v/>
      </c>
      <c r="AJ52" t="str" cm="1">
        <f t="array" aca="1" ref="AJ52" ca="1">+IFERROR(_xlfn.XLOOKUP($B52,INDIRECT("'[storico profut.xlsm]Consiglio_Week'!$B:$B"),INDIRECT("'[storico profut.xlsm]Consiglio_Week'!$M:$M")),"")</f>
        <v/>
      </c>
      <c r="AK52" t="str" cm="1">
        <f t="array" aca="1" ref="AK52" ca="1">+IFERROR(_xlfn.XLOOKUP($B52,INDIRECT("'[storico profut.xlsm]Consiglio_Week'!$B:$B"),INDIRECT("'[storico profut.xlsm]Consiglio_Week'!$P:$P")),"")</f>
        <v/>
      </c>
      <c r="AL52" s="21" t="str" cm="1">
        <f t="array" aca="1" ref="AL52" ca="1">IFERROR(
  _xlfn.XLOOKUP(
    $B52,
    INDIRECT("'[storico profut.xlsm]Consiglio_Week'!B:B"),
    OFFSET( INDIRECT("'[storico profut.xlsm]Consiglio_Week'!$R:$R"), 0, COLUMNS($A:A)-1 )
  ),
  ""
)</f>
        <v/>
      </c>
      <c r="AM52" s="21" t="str" cm="1">
        <f t="array" aca="1" ref="AM52" ca="1">IFERROR(
  _xlfn.XLOOKUP(
    $B52,
    INDIRECT("'[storico profut.xlsm]Consiglio_Week'!B:B"),
    OFFSET( INDIRECT("'[storico profut.xlsm]Consiglio_Week'!$R:$R"), 0, COLUMNS($A:B)-1 )
  ),
  ""
)</f>
        <v/>
      </c>
      <c r="AN52" s="21" t="str" cm="1">
        <f t="array" aca="1" ref="AN52" ca="1">IFERROR(
  _xlfn.XLOOKUP(
    $B52,
    INDIRECT("'[storico profut.xlsm]Consiglio_Week'!B:B"),
    OFFSET( INDIRECT("'[storico profut.xlsm]Consiglio_Week'!$R:$R"), 0, COLUMNS($A:C)-1 )
  ),
  ""
)</f>
        <v/>
      </c>
      <c r="AO52" s="21" t="str" cm="1">
        <f t="array" aca="1" ref="AO52" ca="1">IFERROR(
  _xlfn.XLOOKUP(
    $B52,
    INDIRECT("'[storico profut.xlsm]Consiglio_Week'!B:B"),
    OFFSET( INDIRECT("'[storico profut.xlsm]Consiglio_Week'!$R:$R"), 0, COLUMNS($A:D)-1 )
  ),
  ""
)</f>
        <v/>
      </c>
      <c r="AP52" s="21" t="str" cm="1">
        <f t="array" aca="1" ref="AP52" ca="1">IFERROR(
  _xlfn.XLOOKUP(
    $B52,
    INDIRECT("'[storico profut.xlsm]Consiglio_Week'!B:B"),
    OFFSET( INDIRECT("'[storico profut.xlsm]Consiglio_Week'!$R:$R"), 0, COLUMNS($A:E)-1 )
  ),
  ""
)</f>
        <v/>
      </c>
      <c r="AQ52" s="22" t="str" cm="1">
        <f t="array" aca="1" ref="AQ52" ca="1">IFERROR(
  _xlfn.XLOOKUP(
    $B52,
    INDIRECT("'[storico profut.xlsm]Consiglio_Week'!B:B"),
    OFFSET( INDIRECT("'[storico profut.xlsm]Consiglio_Week'!$R:$R"), 0, COLUMNS($A:F)-1 )
  ),
  ""
)</f>
        <v/>
      </c>
      <c r="AR52" s="21" t="str" cm="1">
        <f t="array" aca="1" ref="AR52" ca="1">IFERROR(
  _xlfn.XLOOKUP(
    $B52,
    INDIRECT("'[storico profut.xlsm]Consiglio_Week'!B:B"),
    OFFSET( INDIRECT("'[storico profut.xlsm]Consiglio_Week'!$R:$R"), 0, COLUMNS($A:G)-1 )
  ),
  ""
)</f>
        <v/>
      </c>
      <c r="AS52" s="21" t="str" cm="1">
        <f t="array" aca="1" ref="AS52" ca="1">IFERROR(
  _xlfn.XLOOKUP(
    $B52,
    INDIRECT("'[storico profut.xlsm]Consiglio_Week'!B:B"),
    OFFSET( INDIRECT("'[storico profut.xlsm]Consiglio_Week'!$R:$R"), 0, COLUMNS($A:H)-1 )
  ),
  ""
)</f>
        <v/>
      </c>
      <c r="AT52" s="21" t="str" cm="1">
        <f t="array" aca="1" ref="AT52" ca="1">IFERROR(
  _xlfn.XLOOKUP(
    $B52,
    INDIRECT("'[storico profut.xlsm]Consiglio_Week'!B:B"),
    OFFSET( INDIRECT("'[storico profut.xlsm]Consiglio_Week'!$R:$R"), 0, COLUMNS($A:I)-1 )
  ),
  ""
)</f>
        <v/>
      </c>
      <c r="AU52" s="22" t="str" cm="1">
        <f t="array" aca="1" ref="AU52" ca="1">IFERROR(
  _xlfn.XLOOKUP(
    $B52,
    INDIRECT("'[storico profut.xlsm]Consiglio_Week'!B:B"),
    OFFSET( INDIRECT("'[storico profut.xlsm]Consiglio_Week'!$R:$R"), 0, COLUMNS($A:J)-1 )
  ),
  ""
)</f>
        <v/>
      </c>
      <c r="AV52" s="22" t="str" cm="1">
        <f t="array" aca="1" ref="AV52" ca="1">IFERROR(
  _xlfn.XLOOKUP(
    $B52,
    INDIRECT("'[storico profut.xlsm]Consiglio_Week'!B:B"),
    OFFSET( INDIRECT("'[storico profut.xlsm]Consiglio_Week'!$R:$R"), 0, COLUMNS($A:K)-1 )
  ),
  ""
)</f>
        <v/>
      </c>
      <c r="AW52" s="22" t="str" cm="1">
        <f t="array" aca="1" ref="AW52" ca="1">IFERROR(
  _xlfn.XLOOKUP(
    $B52,
    INDIRECT("'[storico profut.xlsm]Consiglio_Week'!B:B"),
    OFFSET( INDIRECT("'[storico profut.xlsm]Consiglio_Week'!$R:$R"), 0, COLUMNS($A:L)-1 )
  ),
  ""
)</f>
        <v/>
      </c>
      <c r="AX52" s="26" t="str" cm="1">
        <f t="array" aca="1" ref="AX52" ca="1">IFERROR(
  _xlfn.XLOOKUP(
    $B52,
    INDIRECT("'[storico profut.xlsm]Consiglio_Week'!B:B"),
    OFFSET( INDIRECT("'[storico profut.xlsm]Consiglio_Week'!$R:$R"), 0, COLUMNS($A:M)-1 )
  ),
  ""
)</f>
        <v/>
      </c>
      <c r="AY52" s="22" t="s">
        <v>636</v>
      </c>
    </row>
    <row r="53" spans="1:51">
      <c r="A53" t="s">
        <v>557</v>
      </c>
      <c r="B53" t="s">
        <v>492</v>
      </c>
      <c r="C53">
        <v>20</v>
      </c>
      <c r="D53">
        <v>2</v>
      </c>
      <c r="E53" s="6">
        <v>0.375</v>
      </c>
      <c r="F53" s="6">
        <v>0.625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t="s">
        <v>468</v>
      </c>
      <c r="R53">
        <v>2</v>
      </c>
      <c r="S53" t="s">
        <v>574</v>
      </c>
      <c r="AH53" t="str" cm="1">
        <f t="array" aca="1" ref="AH53" ca="1">+IFERROR(_xlfn.XLOOKUP($B53,INDIRECT("'[storico profut.xlsm]Consiglio_Week'!$B:$B"),INDIRECT("'[storico profut.xlsm]Consiglio_Week'!$I:$I")),"")</f>
        <v/>
      </c>
      <c r="AI53" t="str" cm="1">
        <f t="array" aca="1" ref="AI53" ca="1">+IFERROR(_xlfn.XLOOKUP($B53,INDIRECT("'[storico profut.xlsm]Consiglio_Week'!$B:$B"),INDIRECT("'[storico profut.xlsm]Consiglio_Week'!$L:$L")),"")</f>
        <v/>
      </c>
      <c r="AJ53" t="str" cm="1">
        <f t="array" aca="1" ref="AJ53" ca="1">+IFERROR(_xlfn.XLOOKUP($B53,INDIRECT("'[storico profut.xlsm]Consiglio_Week'!$B:$B"),INDIRECT("'[storico profut.xlsm]Consiglio_Week'!$M:$M")),"")</f>
        <v/>
      </c>
      <c r="AK53" t="str" cm="1">
        <f t="array" aca="1" ref="AK53" ca="1">+IFERROR(_xlfn.XLOOKUP($B53,INDIRECT("'[storico profut.xlsm]Consiglio_Week'!$B:$B"),INDIRECT("'[storico profut.xlsm]Consiglio_Week'!$P:$P")),"")</f>
        <v/>
      </c>
      <c r="AL53" s="21" t="str" cm="1">
        <f t="array" aca="1" ref="AL53" ca="1">IFERROR(
  _xlfn.XLOOKUP(
    $B53,
    INDIRECT("'[storico profut.xlsm]Consiglio_Week'!B:B"),
    OFFSET( INDIRECT("'[storico profut.xlsm]Consiglio_Week'!$R:$R"), 0, COLUMNS($A:A)-1 )
  ),
  ""
)</f>
        <v/>
      </c>
      <c r="AM53" s="21" t="str" cm="1">
        <f t="array" aca="1" ref="AM53" ca="1">IFERROR(
  _xlfn.XLOOKUP(
    $B53,
    INDIRECT("'[storico profut.xlsm]Consiglio_Week'!B:B"),
    OFFSET( INDIRECT("'[storico profut.xlsm]Consiglio_Week'!$R:$R"), 0, COLUMNS($A:B)-1 )
  ),
  ""
)</f>
        <v/>
      </c>
      <c r="AN53" s="21" t="str" cm="1">
        <f t="array" aca="1" ref="AN53" ca="1">IFERROR(
  _xlfn.XLOOKUP(
    $B53,
    INDIRECT("'[storico profut.xlsm]Consiglio_Week'!B:B"),
    OFFSET( INDIRECT("'[storico profut.xlsm]Consiglio_Week'!$R:$R"), 0, COLUMNS($A:C)-1 )
  ),
  ""
)</f>
        <v/>
      </c>
      <c r="AO53" s="21" t="str" cm="1">
        <f t="array" aca="1" ref="AO53" ca="1">IFERROR(
  _xlfn.XLOOKUP(
    $B53,
    INDIRECT("'[storico profut.xlsm]Consiglio_Week'!B:B"),
    OFFSET( INDIRECT("'[storico profut.xlsm]Consiglio_Week'!$R:$R"), 0, COLUMNS($A:D)-1 )
  ),
  ""
)</f>
        <v/>
      </c>
      <c r="AP53" s="21" t="str" cm="1">
        <f t="array" aca="1" ref="AP53" ca="1">IFERROR(
  _xlfn.XLOOKUP(
    $B53,
    INDIRECT("'[storico profut.xlsm]Consiglio_Week'!B:B"),
    OFFSET( INDIRECT("'[storico profut.xlsm]Consiglio_Week'!$R:$R"), 0, COLUMNS($A:E)-1 )
  ),
  ""
)</f>
        <v/>
      </c>
      <c r="AQ53" s="22" t="str" cm="1">
        <f t="array" aca="1" ref="AQ53" ca="1">IFERROR(
  _xlfn.XLOOKUP(
    $B53,
    INDIRECT("'[storico profut.xlsm]Consiglio_Week'!B:B"),
    OFFSET( INDIRECT("'[storico profut.xlsm]Consiglio_Week'!$R:$R"), 0, COLUMNS($A:F)-1 )
  ),
  ""
)</f>
        <v/>
      </c>
      <c r="AR53" s="21" t="str" cm="1">
        <f t="array" aca="1" ref="AR53" ca="1">IFERROR(
  _xlfn.XLOOKUP(
    $B53,
    INDIRECT("'[storico profut.xlsm]Consiglio_Week'!B:B"),
    OFFSET( INDIRECT("'[storico profut.xlsm]Consiglio_Week'!$R:$R"), 0, COLUMNS($A:G)-1 )
  ),
  ""
)</f>
        <v/>
      </c>
      <c r="AS53" s="21" t="str" cm="1">
        <f t="array" aca="1" ref="AS53" ca="1">IFERROR(
  _xlfn.XLOOKUP(
    $B53,
    INDIRECT("'[storico profut.xlsm]Consiglio_Week'!B:B"),
    OFFSET( INDIRECT("'[storico profut.xlsm]Consiglio_Week'!$R:$R"), 0, COLUMNS($A:H)-1 )
  ),
  ""
)</f>
        <v/>
      </c>
      <c r="AT53" s="21" t="str" cm="1">
        <f t="array" aca="1" ref="AT53" ca="1">IFERROR(
  _xlfn.XLOOKUP(
    $B53,
    INDIRECT("'[storico profut.xlsm]Consiglio_Week'!B:B"),
    OFFSET( INDIRECT("'[storico profut.xlsm]Consiglio_Week'!$R:$R"), 0, COLUMNS($A:I)-1 )
  ),
  ""
)</f>
        <v/>
      </c>
      <c r="AU53" s="22" t="str" cm="1">
        <f t="array" aca="1" ref="AU53" ca="1">IFERROR(
  _xlfn.XLOOKUP(
    $B53,
    INDIRECT("'[storico profut.xlsm]Consiglio_Week'!B:B"),
    OFFSET( INDIRECT("'[storico profut.xlsm]Consiglio_Week'!$R:$R"), 0, COLUMNS($A:J)-1 )
  ),
  ""
)</f>
        <v/>
      </c>
      <c r="AV53" s="22" t="str" cm="1">
        <f t="array" aca="1" ref="AV53" ca="1">IFERROR(
  _xlfn.XLOOKUP(
    $B53,
    INDIRECT("'[storico profut.xlsm]Consiglio_Week'!B:B"),
    OFFSET( INDIRECT("'[storico profut.xlsm]Consiglio_Week'!$R:$R"), 0, COLUMNS($A:K)-1 )
  ),
  ""
)</f>
        <v/>
      </c>
      <c r="AW53" s="22" t="str" cm="1">
        <f t="array" aca="1" ref="AW53" ca="1">IFERROR(
  _xlfn.XLOOKUP(
    $B53,
    INDIRECT("'[storico profut.xlsm]Consiglio_Week'!B:B"),
    OFFSET( INDIRECT("'[storico profut.xlsm]Consiglio_Week'!$R:$R"), 0, COLUMNS($A:L)-1 )
  ),
  ""
)</f>
        <v/>
      </c>
      <c r="AX53" s="26" t="str" cm="1">
        <f t="array" aca="1" ref="AX53" ca="1">IFERROR(
  _xlfn.XLOOKUP(
    $B53,
    INDIRECT("'[storico profut.xlsm]Consiglio_Week'!B:B"),
    OFFSET( INDIRECT("'[storico profut.xlsm]Consiglio_Week'!$R:$R"), 0, COLUMNS($A:M)-1 )
  ),
  ""
)</f>
        <v/>
      </c>
      <c r="AY53" s="22">
        <v>0</v>
      </c>
    </row>
    <row r="54" spans="1:51">
      <c r="A54" t="s">
        <v>558</v>
      </c>
      <c r="B54" t="s">
        <v>493</v>
      </c>
      <c r="C54">
        <v>20</v>
      </c>
      <c r="D54">
        <v>2</v>
      </c>
      <c r="E54" s="6">
        <v>0.625</v>
      </c>
      <c r="F54" s="6">
        <v>0.875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t="s">
        <v>468</v>
      </c>
      <c r="R54">
        <v>2</v>
      </c>
      <c r="S54" t="s">
        <v>574</v>
      </c>
      <c r="AH54" t="str" cm="1">
        <f t="array" aca="1" ref="AH54" ca="1">+IFERROR(_xlfn.XLOOKUP($B54,INDIRECT("'[storico profut.xlsm]Consiglio_Week'!$B:$B"),INDIRECT("'[storico profut.xlsm]Consiglio_Week'!$I:$I")),"")</f>
        <v/>
      </c>
      <c r="AI54" t="str" cm="1">
        <f t="array" aca="1" ref="AI54" ca="1">+IFERROR(_xlfn.XLOOKUP($B54,INDIRECT("'[storico profut.xlsm]Consiglio_Week'!$B:$B"),INDIRECT("'[storico profut.xlsm]Consiglio_Week'!$L:$L")),"")</f>
        <v/>
      </c>
      <c r="AJ54" t="str" cm="1">
        <f t="array" aca="1" ref="AJ54" ca="1">+IFERROR(_xlfn.XLOOKUP($B54,INDIRECT("'[storico profut.xlsm]Consiglio_Week'!$B:$B"),INDIRECT("'[storico profut.xlsm]Consiglio_Week'!$M:$M")),"")</f>
        <v/>
      </c>
      <c r="AK54" t="str" cm="1">
        <f t="array" aca="1" ref="AK54" ca="1">+IFERROR(_xlfn.XLOOKUP($B54,INDIRECT("'[storico profut.xlsm]Consiglio_Week'!$B:$B"),INDIRECT("'[storico profut.xlsm]Consiglio_Week'!$P:$P")),"")</f>
        <v/>
      </c>
      <c r="AL54" s="21" t="str" cm="1">
        <f t="array" aca="1" ref="AL54" ca="1">IFERROR(
  _xlfn.XLOOKUP(
    $B54,
    INDIRECT("'[storico profut.xlsm]Consiglio_Week'!B:B"),
    OFFSET( INDIRECT("'[storico profut.xlsm]Consiglio_Week'!$R:$R"), 0, COLUMNS($A:A)-1 )
  ),
  ""
)</f>
        <v/>
      </c>
      <c r="AM54" s="21" t="str" cm="1">
        <f t="array" aca="1" ref="AM54" ca="1">IFERROR(
  _xlfn.XLOOKUP(
    $B54,
    INDIRECT("'[storico profut.xlsm]Consiglio_Week'!B:B"),
    OFFSET( INDIRECT("'[storico profut.xlsm]Consiglio_Week'!$R:$R"), 0, COLUMNS($A:B)-1 )
  ),
  ""
)</f>
        <v/>
      </c>
      <c r="AN54" s="21" t="str" cm="1">
        <f t="array" aca="1" ref="AN54" ca="1">IFERROR(
  _xlfn.XLOOKUP(
    $B54,
    INDIRECT("'[storico profut.xlsm]Consiglio_Week'!B:B"),
    OFFSET( INDIRECT("'[storico profut.xlsm]Consiglio_Week'!$R:$R"), 0, COLUMNS($A:C)-1 )
  ),
  ""
)</f>
        <v/>
      </c>
      <c r="AO54" s="21" t="str" cm="1">
        <f t="array" aca="1" ref="AO54" ca="1">IFERROR(
  _xlfn.XLOOKUP(
    $B54,
    INDIRECT("'[storico profut.xlsm]Consiglio_Week'!B:B"),
    OFFSET( INDIRECT("'[storico profut.xlsm]Consiglio_Week'!$R:$R"), 0, COLUMNS($A:D)-1 )
  ),
  ""
)</f>
        <v/>
      </c>
      <c r="AP54" s="21" t="str" cm="1">
        <f t="array" aca="1" ref="AP54" ca="1">IFERROR(
  _xlfn.XLOOKUP(
    $B54,
    INDIRECT("'[storico profut.xlsm]Consiglio_Week'!B:B"),
    OFFSET( INDIRECT("'[storico profut.xlsm]Consiglio_Week'!$R:$R"), 0, COLUMNS($A:E)-1 )
  ),
  ""
)</f>
        <v/>
      </c>
      <c r="AQ54" s="22" t="str" cm="1">
        <f t="array" aca="1" ref="AQ54" ca="1">IFERROR(
  _xlfn.XLOOKUP(
    $B54,
    INDIRECT("'[storico profut.xlsm]Consiglio_Week'!B:B"),
    OFFSET( INDIRECT("'[storico profut.xlsm]Consiglio_Week'!$R:$R"), 0, COLUMNS($A:F)-1 )
  ),
  ""
)</f>
        <v/>
      </c>
      <c r="AR54" s="21" t="str" cm="1">
        <f t="array" aca="1" ref="AR54" ca="1">IFERROR(
  _xlfn.XLOOKUP(
    $B54,
    INDIRECT("'[storico profut.xlsm]Consiglio_Week'!B:B"),
    OFFSET( INDIRECT("'[storico profut.xlsm]Consiglio_Week'!$R:$R"), 0, COLUMNS($A:G)-1 )
  ),
  ""
)</f>
        <v/>
      </c>
      <c r="AS54" s="21" t="str" cm="1">
        <f t="array" aca="1" ref="AS54" ca="1">IFERROR(
  _xlfn.XLOOKUP(
    $B54,
    INDIRECT("'[storico profut.xlsm]Consiglio_Week'!B:B"),
    OFFSET( INDIRECT("'[storico profut.xlsm]Consiglio_Week'!$R:$R"), 0, COLUMNS($A:H)-1 )
  ),
  ""
)</f>
        <v/>
      </c>
      <c r="AT54" s="21" t="str" cm="1">
        <f t="array" aca="1" ref="AT54" ca="1">IFERROR(
  _xlfn.XLOOKUP(
    $B54,
    INDIRECT("'[storico profut.xlsm]Consiglio_Week'!B:B"),
    OFFSET( INDIRECT("'[storico profut.xlsm]Consiglio_Week'!$R:$R"), 0, COLUMNS($A:I)-1 )
  ),
  ""
)</f>
        <v/>
      </c>
      <c r="AU54" s="22" t="str" cm="1">
        <f t="array" aca="1" ref="AU54" ca="1">IFERROR(
  _xlfn.XLOOKUP(
    $B54,
    INDIRECT("'[storico profut.xlsm]Consiglio_Week'!B:B"),
    OFFSET( INDIRECT("'[storico profut.xlsm]Consiglio_Week'!$R:$R"), 0, COLUMNS($A:J)-1 )
  ),
  ""
)</f>
        <v/>
      </c>
      <c r="AV54" s="22" t="str" cm="1">
        <f t="array" aca="1" ref="AV54" ca="1">IFERROR(
  _xlfn.XLOOKUP(
    $B54,
    INDIRECT("'[storico profut.xlsm]Consiglio_Week'!B:B"),
    OFFSET( INDIRECT("'[storico profut.xlsm]Consiglio_Week'!$R:$R"), 0, COLUMNS($A:K)-1 )
  ),
  ""
)</f>
        <v/>
      </c>
      <c r="AW54" s="22" t="str" cm="1">
        <f t="array" aca="1" ref="AW54" ca="1">IFERROR(
  _xlfn.XLOOKUP(
    $B54,
    INDIRECT("'[storico profut.xlsm]Consiglio_Week'!B:B"),
    OFFSET( INDIRECT("'[storico profut.xlsm]Consiglio_Week'!$R:$R"), 0, COLUMNS($A:L)-1 )
  ),
  ""
)</f>
        <v/>
      </c>
      <c r="AX54" s="26" t="str" cm="1">
        <f t="array" aca="1" ref="AX54" ca="1">IFERROR(
  _xlfn.XLOOKUP(
    $B54,
    INDIRECT("'[storico profut.xlsm]Consiglio_Week'!B:B"),
    OFFSET( INDIRECT("'[storico profut.xlsm]Consiglio_Week'!$R:$R"), 0, COLUMNS($A:M)-1 )
  ),
  ""
)</f>
        <v/>
      </c>
      <c r="AY54" s="22">
        <v>0</v>
      </c>
    </row>
    <row r="55" spans="1:51">
      <c r="A55" t="s">
        <v>559</v>
      </c>
      <c r="B55" t="s">
        <v>494</v>
      </c>
      <c r="C55">
        <v>20</v>
      </c>
      <c r="D55">
        <v>2</v>
      </c>
      <c r="E55" s="16">
        <v>0.375</v>
      </c>
      <c r="F55" s="16">
        <v>0.54166666666666663</v>
      </c>
      <c r="G55" s="5"/>
      <c r="H55" s="5" t="s">
        <v>640</v>
      </c>
      <c r="I55" s="5"/>
      <c r="J55" s="5"/>
      <c r="K55" s="5"/>
      <c r="L55" s="5"/>
      <c r="M55" s="5"/>
      <c r="N55" s="5"/>
      <c r="O55" s="5"/>
      <c r="P55" s="5"/>
      <c r="Q55" t="s">
        <v>468</v>
      </c>
      <c r="R55">
        <v>0</v>
      </c>
      <c r="S55" t="s">
        <v>574</v>
      </c>
      <c r="AH55" t="str" cm="1">
        <f t="array" aca="1" ref="AH55" ca="1">+IFERROR(_xlfn.XLOOKUP($B55,INDIRECT("'[storico profut.xlsm]Consiglio_Week'!$B:$B"),INDIRECT("'[storico profut.xlsm]Consiglio_Week'!$I:$I")),"")</f>
        <v/>
      </c>
      <c r="AI55" t="str" cm="1">
        <f t="array" aca="1" ref="AI55" ca="1">+IFERROR(_xlfn.XLOOKUP($B55,INDIRECT("'[storico profut.xlsm]Consiglio_Week'!$B:$B"),INDIRECT("'[storico profut.xlsm]Consiglio_Week'!$L:$L")),"")</f>
        <v/>
      </c>
      <c r="AJ55" t="str" cm="1">
        <f t="array" aca="1" ref="AJ55" ca="1">+IFERROR(_xlfn.XLOOKUP($B55,INDIRECT("'[storico profut.xlsm]Consiglio_Week'!$B:$B"),INDIRECT("'[storico profut.xlsm]Consiglio_Week'!$M:$M")),"")</f>
        <v/>
      </c>
      <c r="AK55" t="str" cm="1">
        <f t="array" aca="1" ref="AK55" ca="1">+IFERROR(_xlfn.XLOOKUP($B55,INDIRECT("'[storico profut.xlsm]Consiglio_Week'!$B:$B"),INDIRECT("'[storico profut.xlsm]Consiglio_Week'!$P:$P")),"")</f>
        <v/>
      </c>
      <c r="AL55" s="21" t="str" cm="1">
        <f t="array" aca="1" ref="AL55" ca="1">IFERROR(
  _xlfn.XLOOKUP(
    $B55,
    INDIRECT("'[storico profut.xlsm]Consiglio_Week'!B:B"),
    OFFSET( INDIRECT("'[storico profut.xlsm]Consiglio_Week'!$R:$R"), 0, COLUMNS($A:A)-1 )
  ),
  ""
)</f>
        <v/>
      </c>
      <c r="AM55" s="21" t="str" cm="1">
        <f t="array" aca="1" ref="AM55" ca="1">IFERROR(
  _xlfn.XLOOKUP(
    $B55,
    INDIRECT("'[storico profut.xlsm]Consiglio_Week'!B:B"),
    OFFSET( INDIRECT("'[storico profut.xlsm]Consiglio_Week'!$R:$R"), 0, COLUMNS($A:B)-1 )
  ),
  ""
)</f>
        <v/>
      </c>
      <c r="AN55" s="21" t="str" cm="1">
        <f t="array" aca="1" ref="AN55" ca="1">IFERROR(
  _xlfn.XLOOKUP(
    $B55,
    INDIRECT("'[storico profut.xlsm]Consiglio_Week'!B:B"),
    OFFSET( INDIRECT("'[storico profut.xlsm]Consiglio_Week'!$R:$R"), 0, COLUMNS($A:C)-1 )
  ),
  ""
)</f>
        <v/>
      </c>
      <c r="AO55" s="21" t="str" cm="1">
        <f t="array" aca="1" ref="AO55" ca="1">IFERROR(
  _xlfn.XLOOKUP(
    $B55,
    INDIRECT("'[storico profut.xlsm]Consiglio_Week'!B:B"),
    OFFSET( INDIRECT("'[storico profut.xlsm]Consiglio_Week'!$R:$R"), 0, COLUMNS($A:D)-1 )
  ),
  ""
)</f>
        <v/>
      </c>
      <c r="AP55" s="21" t="str" cm="1">
        <f t="array" aca="1" ref="AP55" ca="1">IFERROR(
  _xlfn.XLOOKUP(
    $B55,
    INDIRECT("'[storico profut.xlsm]Consiglio_Week'!B:B"),
    OFFSET( INDIRECT("'[storico profut.xlsm]Consiglio_Week'!$R:$R"), 0, COLUMNS($A:E)-1 )
  ),
  ""
)</f>
        <v/>
      </c>
      <c r="AQ55" s="22" t="str" cm="1">
        <f t="array" aca="1" ref="AQ55" ca="1">IFERROR(
  _xlfn.XLOOKUP(
    $B55,
    INDIRECT("'[storico profut.xlsm]Consiglio_Week'!B:B"),
    OFFSET( INDIRECT("'[storico profut.xlsm]Consiglio_Week'!$R:$R"), 0, COLUMNS($A:F)-1 )
  ),
  ""
)</f>
        <v/>
      </c>
      <c r="AR55" s="21" t="str" cm="1">
        <f t="array" aca="1" ref="AR55" ca="1">IFERROR(
  _xlfn.XLOOKUP(
    $B55,
    INDIRECT("'[storico profut.xlsm]Consiglio_Week'!B:B"),
    OFFSET( INDIRECT("'[storico profut.xlsm]Consiglio_Week'!$R:$R"), 0, COLUMNS($A:G)-1 )
  ),
  ""
)</f>
        <v/>
      </c>
      <c r="AS55" s="21" t="str" cm="1">
        <f t="array" aca="1" ref="AS55" ca="1">IFERROR(
  _xlfn.XLOOKUP(
    $B55,
    INDIRECT("'[storico profut.xlsm]Consiglio_Week'!B:B"),
    OFFSET( INDIRECT("'[storico profut.xlsm]Consiglio_Week'!$R:$R"), 0, COLUMNS($A:H)-1 )
  ),
  ""
)</f>
        <v/>
      </c>
      <c r="AT55" s="21" t="str" cm="1">
        <f t="array" aca="1" ref="AT55" ca="1">IFERROR(
  _xlfn.XLOOKUP(
    $B55,
    INDIRECT("'[storico profut.xlsm]Consiglio_Week'!B:B"),
    OFFSET( INDIRECT("'[storico profut.xlsm]Consiglio_Week'!$R:$R"), 0, COLUMNS($A:I)-1 )
  ),
  ""
)</f>
        <v/>
      </c>
      <c r="AU55" s="22" t="str" cm="1">
        <f t="array" aca="1" ref="AU55" ca="1">IFERROR(
  _xlfn.XLOOKUP(
    $B55,
    INDIRECT("'[storico profut.xlsm]Consiglio_Week'!B:B"),
    OFFSET( INDIRECT("'[storico profut.xlsm]Consiglio_Week'!$R:$R"), 0, COLUMNS($A:J)-1 )
  ),
  ""
)</f>
        <v/>
      </c>
      <c r="AV55" s="22" t="str" cm="1">
        <f t="array" aca="1" ref="AV55" ca="1">IFERROR(
  _xlfn.XLOOKUP(
    $B55,
    INDIRECT("'[storico profut.xlsm]Consiglio_Week'!B:B"),
    OFFSET( INDIRECT("'[storico profut.xlsm]Consiglio_Week'!$R:$R"), 0, COLUMNS($A:K)-1 )
  ),
  ""
)</f>
        <v/>
      </c>
      <c r="AW55" s="22" t="str" cm="1">
        <f t="array" aca="1" ref="AW55" ca="1">IFERROR(
  _xlfn.XLOOKUP(
    $B55,
    INDIRECT("'[storico profut.xlsm]Consiglio_Week'!B:B"),
    OFFSET( INDIRECT("'[storico profut.xlsm]Consiglio_Week'!$R:$R"), 0, COLUMNS($A:L)-1 )
  ),
  ""
)</f>
        <v/>
      </c>
      <c r="AX55" s="26" t="str" cm="1">
        <f t="array" aca="1" ref="AX55" ca="1">IFERROR(
  _xlfn.XLOOKUP(
    $B55,
    INDIRECT("'[storico profut.xlsm]Consiglio_Week'!B:B"),
    OFFSET( INDIRECT("'[storico profut.xlsm]Consiglio_Week'!$R:$R"), 0, COLUMNS($A:M)-1 )
  ),
  ""
)</f>
        <v/>
      </c>
      <c r="AY55" s="22" t="s">
        <v>626</v>
      </c>
    </row>
    <row r="56" spans="1:51">
      <c r="A56" t="s">
        <v>560</v>
      </c>
      <c r="B56" t="s">
        <v>495</v>
      </c>
      <c r="C56">
        <v>20</v>
      </c>
      <c r="D56">
        <v>2</v>
      </c>
      <c r="E56" s="6">
        <v>0.625</v>
      </c>
      <c r="F56" s="6">
        <v>0.875</v>
      </c>
      <c r="G56" s="5" t="s">
        <v>640</v>
      </c>
      <c r="H56" s="5" t="s">
        <v>640</v>
      </c>
      <c r="I56" s="5"/>
      <c r="J56" s="5"/>
      <c r="K56" s="5"/>
      <c r="L56" s="5"/>
      <c r="M56" s="5"/>
      <c r="N56" s="5"/>
      <c r="O56" s="5"/>
      <c r="P56" s="5"/>
      <c r="Q56" t="s">
        <v>468</v>
      </c>
      <c r="R56">
        <v>2</v>
      </c>
      <c r="S56" t="s">
        <v>574</v>
      </c>
      <c r="AH56" t="str" cm="1">
        <f t="array" aca="1" ref="AH56" ca="1">+IFERROR(_xlfn.XLOOKUP($B56,INDIRECT("'[storico profut.xlsm]Consiglio_Week'!$B:$B"),INDIRECT("'[storico profut.xlsm]Consiglio_Week'!$I:$I")),"")</f>
        <v/>
      </c>
      <c r="AI56" t="str" cm="1">
        <f t="array" aca="1" ref="AI56" ca="1">+IFERROR(_xlfn.XLOOKUP($B56,INDIRECT("'[storico profut.xlsm]Consiglio_Week'!$B:$B"),INDIRECT("'[storico profut.xlsm]Consiglio_Week'!$L:$L")),"")</f>
        <v/>
      </c>
      <c r="AJ56" t="str" cm="1">
        <f t="array" aca="1" ref="AJ56" ca="1">+IFERROR(_xlfn.XLOOKUP($B56,INDIRECT("'[storico profut.xlsm]Consiglio_Week'!$B:$B"),INDIRECT("'[storico profut.xlsm]Consiglio_Week'!$M:$M")),"")</f>
        <v/>
      </c>
      <c r="AK56" t="str" cm="1">
        <f t="array" aca="1" ref="AK56" ca="1">+IFERROR(_xlfn.XLOOKUP($B56,INDIRECT("'[storico profut.xlsm]Consiglio_Week'!$B:$B"),INDIRECT("'[storico profut.xlsm]Consiglio_Week'!$P:$P")),"")</f>
        <v/>
      </c>
      <c r="AL56" s="21" t="str" cm="1">
        <f t="array" aca="1" ref="AL56" ca="1">IFERROR(
  _xlfn.XLOOKUP(
    $B56,
    INDIRECT("'[storico profut.xlsm]Consiglio_Week'!B:B"),
    OFFSET( INDIRECT("'[storico profut.xlsm]Consiglio_Week'!$R:$R"), 0, COLUMNS($A:A)-1 )
  ),
  ""
)</f>
        <v/>
      </c>
      <c r="AM56" s="21" t="str" cm="1">
        <f t="array" aca="1" ref="AM56" ca="1">IFERROR(
  _xlfn.XLOOKUP(
    $B56,
    INDIRECT("'[storico profut.xlsm]Consiglio_Week'!B:B"),
    OFFSET( INDIRECT("'[storico profut.xlsm]Consiglio_Week'!$R:$R"), 0, COLUMNS($A:B)-1 )
  ),
  ""
)</f>
        <v/>
      </c>
      <c r="AN56" s="21" t="str" cm="1">
        <f t="array" aca="1" ref="AN56" ca="1">IFERROR(
  _xlfn.XLOOKUP(
    $B56,
    INDIRECT("'[storico profut.xlsm]Consiglio_Week'!B:B"),
    OFFSET( INDIRECT("'[storico profut.xlsm]Consiglio_Week'!$R:$R"), 0, COLUMNS($A:C)-1 )
  ),
  ""
)</f>
        <v/>
      </c>
      <c r="AO56" s="21" t="str" cm="1">
        <f t="array" aca="1" ref="AO56" ca="1">IFERROR(
  _xlfn.XLOOKUP(
    $B56,
    INDIRECT("'[storico profut.xlsm]Consiglio_Week'!B:B"),
    OFFSET( INDIRECT("'[storico profut.xlsm]Consiglio_Week'!$R:$R"), 0, COLUMNS($A:D)-1 )
  ),
  ""
)</f>
        <v/>
      </c>
      <c r="AP56" s="21" t="str" cm="1">
        <f t="array" aca="1" ref="AP56" ca="1">IFERROR(
  _xlfn.XLOOKUP(
    $B56,
    INDIRECT("'[storico profut.xlsm]Consiglio_Week'!B:B"),
    OFFSET( INDIRECT("'[storico profut.xlsm]Consiglio_Week'!$R:$R"), 0, COLUMNS($A:E)-1 )
  ),
  ""
)</f>
        <v/>
      </c>
      <c r="AQ56" s="22" t="str" cm="1">
        <f t="array" aca="1" ref="AQ56" ca="1">IFERROR(
  _xlfn.XLOOKUP(
    $B56,
    INDIRECT("'[storico profut.xlsm]Consiglio_Week'!B:B"),
    OFFSET( INDIRECT("'[storico profut.xlsm]Consiglio_Week'!$R:$R"), 0, COLUMNS($A:F)-1 )
  ),
  ""
)</f>
        <v/>
      </c>
      <c r="AR56" s="21" t="str" cm="1">
        <f t="array" aca="1" ref="AR56" ca="1">IFERROR(
  _xlfn.XLOOKUP(
    $B56,
    INDIRECT("'[storico profut.xlsm]Consiglio_Week'!B:B"),
    OFFSET( INDIRECT("'[storico profut.xlsm]Consiglio_Week'!$R:$R"), 0, COLUMNS($A:G)-1 )
  ),
  ""
)</f>
        <v/>
      </c>
      <c r="AS56" s="21" t="str" cm="1">
        <f t="array" aca="1" ref="AS56" ca="1">IFERROR(
  _xlfn.XLOOKUP(
    $B56,
    INDIRECT("'[storico profut.xlsm]Consiglio_Week'!B:B"),
    OFFSET( INDIRECT("'[storico profut.xlsm]Consiglio_Week'!$R:$R"), 0, COLUMNS($A:H)-1 )
  ),
  ""
)</f>
        <v/>
      </c>
      <c r="AT56" s="21" t="str" cm="1">
        <f t="array" aca="1" ref="AT56" ca="1">IFERROR(
  _xlfn.XLOOKUP(
    $B56,
    INDIRECT("'[storico profut.xlsm]Consiglio_Week'!B:B"),
    OFFSET( INDIRECT("'[storico profut.xlsm]Consiglio_Week'!$R:$R"), 0, COLUMNS($A:I)-1 )
  ),
  ""
)</f>
        <v/>
      </c>
      <c r="AU56" s="22" t="str" cm="1">
        <f t="array" aca="1" ref="AU56" ca="1">IFERROR(
  _xlfn.XLOOKUP(
    $B56,
    INDIRECT("'[storico profut.xlsm]Consiglio_Week'!B:B"),
    OFFSET( INDIRECT("'[storico profut.xlsm]Consiglio_Week'!$R:$R"), 0, COLUMNS($A:J)-1 )
  ),
  ""
)</f>
        <v/>
      </c>
      <c r="AV56" s="22" t="str" cm="1">
        <f t="array" aca="1" ref="AV56" ca="1">IFERROR(
  _xlfn.XLOOKUP(
    $B56,
    INDIRECT("'[storico profut.xlsm]Consiglio_Week'!B:B"),
    OFFSET( INDIRECT("'[storico profut.xlsm]Consiglio_Week'!$R:$R"), 0, COLUMNS($A:K)-1 )
  ),
  ""
)</f>
        <v/>
      </c>
      <c r="AW56" s="22" t="str" cm="1">
        <f t="array" aca="1" ref="AW56" ca="1">IFERROR(
  _xlfn.XLOOKUP(
    $B56,
    INDIRECT("'[storico profut.xlsm]Consiglio_Week'!B:B"),
    OFFSET( INDIRECT("'[storico profut.xlsm]Consiglio_Week'!$R:$R"), 0, COLUMNS($A:L)-1 )
  ),
  ""
)</f>
        <v/>
      </c>
      <c r="AX56" s="26" t="str" cm="1">
        <f t="array" aca="1" ref="AX56" ca="1">IFERROR(
  _xlfn.XLOOKUP(
    $B56,
    INDIRECT("'[storico profut.xlsm]Consiglio_Week'!B:B"),
    OFFSET( INDIRECT("'[storico profut.xlsm]Consiglio_Week'!$R:$R"), 0, COLUMNS($A:M)-1 )
  ),
  ""
)</f>
        <v/>
      </c>
      <c r="AY56" s="22">
        <v>0</v>
      </c>
    </row>
    <row r="57" spans="1:51">
      <c r="A57" t="s">
        <v>561</v>
      </c>
      <c r="B57" t="s">
        <v>499</v>
      </c>
      <c r="C57">
        <v>20</v>
      </c>
      <c r="D57">
        <v>2</v>
      </c>
      <c r="E57" s="6">
        <v>0.375</v>
      </c>
      <c r="F57" s="6">
        <v>0.625</v>
      </c>
      <c r="G57" s="5"/>
      <c r="H57" s="5" t="s">
        <v>640</v>
      </c>
      <c r="I57" s="5"/>
      <c r="J57" s="5"/>
      <c r="K57" s="5"/>
      <c r="L57" s="5"/>
      <c r="M57" s="5"/>
      <c r="N57" s="5"/>
      <c r="O57" s="5"/>
      <c r="P57" s="5"/>
      <c r="Q57" t="s">
        <v>468</v>
      </c>
      <c r="R57">
        <v>2</v>
      </c>
      <c r="S57" t="s">
        <v>574</v>
      </c>
      <c r="AH57" t="str" cm="1">
        <f t="array" aca="1" ref="AH57" ca="1">+IFERROR(_xlfn.XLOOKUP($B57,INDIRECT("'[storico profut.xlsm]Consiglio_Week'!$B:$B"),INDIRECT("'[storico profut.xlsm]Consiglio_Week'!$I:$I")),"")</f>
        <v/>
      </c>
      <c r="AI57" t="str" cm="1">
        <f t="array" aca="1" ref="AI57" ca="1">+IFERROR(_xlfn.XLOOKUP($B57,INDIRECT("'[storico profut.xlsm]Consiglio_Week'!$B:$B"),INDIRECT("'[storico profut.xlsm]Consiglio_Week'!$L:$L")),"")</f>
        <v/>
      </c>
      <c r="AJ57" t="str" cm="1">
        <f t="array" aca="1" ref="AJ57" ca="1">+IFERROR(_xlfn.XLOOKUP($B57,INDIRECT("'[storico profut.xlsm]Consiglio_Week'!$B:$B"),INDIRECT("'[storico profut.xlsm]Consiglio_Week'!$M:$M")),"")</f>
        <v/>
      </c>
      <c r="AK57" t="str" cm="1">
        <f t="array" aca="1" ref="AK57" ca="1">+IFERROR(_xlfn.XLOOKUP($B57,INDIRECT("'[storico profut.xlsm]Consiglio_Week'!$B:$B"),INDIRECT("'[storico profut.xlsm]Consiglio_Week'!$P:$P")),"")</f>
        <v/>
      </c>
      <c r="AL57" s="21" t="str" cm="1">
        <f t="array" aca="1" ref="AL57" ca="1">IFERROR(
  _xlfn.XLOOKUP(
    $B57,
    INDIRECT("'[storico profut.xlsm]Consiglio_Week'!B:B"),
    OFFSET( INDIRECT("'[storico profut.xlsm]Consiglio_Week'!$R:$R"), 0, COLUMNS($A:A)-1 )
  ),
  ""
)</f>
        <v/>
      </c>
      <c r="AM57" s="21" t="str" cm="1">
        <f t="array" aca="1" ref="AM57" ca="1">IFERROR(
  _xlfn.XLOOKUP(
    $B57,
    INDIRECT("'[storico profut.xlsm]Consiglio_Week'!B:B"),
    OFFSET( INDIRECT("'[storico profut.xlsm]Consiglio_Week'!$R:$R"), 0, COLUMNS($A:B)-1 )
  ),
  ""
)</f>
        <v/>
      </c>
      <c r="AN57" s="21" t="str" cm="1">
        <f t="array" aca="1" ref="AN57" ca="1">IFERROR(
  _xlfn.XLOOKUP(
    $B57,
    INDIRECT("'[storico profut.xlsm]Consiglio_Week'!B:B"),
    OFFSET( INDIRECT("'[storico profut.xlsm]Consiglio_Week'!$R:$R"), 0, COLUMNS($A:C)-1 )
  ),
  ""
)</f>
        <v/>
      </c>
      <c r="AO57" s="21" t="str" cm="1">
        <f t="array" aca="1" ref="AO57" ca="1">IFERROR(
  _xlfn.XLOOKUP(
    $B57,
    INDIRECT("'[storico profut.xlsm]Consiglio_Week'!B:B"),
    OFFSET( INDIRECT("'[storico profut.xlsm]Consiglio_Week'!$R:$R"), 0, COLUMNS($A:D)-1 )
  ),
  ""
)</f>
        <v/>
      </c>
      <c r="AP57" s="21" t="str" cm="1">
        <f t="array" aca="1" ref="AP57" ca="1">IFERROR(
  _xlfn.XLOOKUP(
    $B57,
    INDIRECT("'[storico profut.xlsm]Consiglio_Week'!B:B"),
    OFFSET( INDIRECT("'[storico profut.xlsm]Consiglio_Week'!$R:$R"), 0, COLUMNS($A:E)-1 )
  ),
  ""
)</f>
        <v/>
      </c>
      <c r="AQ57" s="22" t="str" cm="1">
        <f t="array" aca="1" ref="AQ57" ca="1">IFERROR(
  _xlfn.XLOOKUP(
    $B57,
    INDIRECT("'[storico profut.xlsm]Consiglio_Week'!B:B"),
    OFFSET( INDIRECT("'[storico profut.xlsm]Consiglio_Week'!$R:$R"), 0, COLUMNS($A:F)-1 )
  ),
  ""
)</f>
        <v/>
      </c>
      <c r="AR57" s="21" t="str" cm="1">
        <f t="array" aca="1" ref="AR57" ca="1">IFERROR(
  _xlfn.XLOOKUP(
    $B57,
    INDIRECT("'[storico profut.xlsm]Consiglio_Week'!B:B"),
    OFFSET( INDIRECT("'[storico profut.xlsm]Consiglio_Week'!$R:$R"), 0, COLUMNS($A:G)-1 )
  ),
  ""
)</f>
        <v/>
      </c>
      <c r="AS57" s="21" t="str" cm="1">
        <f t="array" aca="1" ref="AS57" ca="1">IFERROR(
  _xlfn.XLOOKUP(
    $B57,
    INDIRECT("'[storico profut.xlsm]Consiglio_Week'!B:B"),
    OFFSET( INDIRECT("'[storico profut.xlsm]Consiglio_Week'!$R:$R"), 0, COLUMNS($A:H)-1 )
  ),
  ""
)</f>
        <v/>
      </c>
      <c r="AT57" s="21" t="str" cm="1">
        <f t="array" aca="1" ref="AT57" ca="1">IFERROR(
  _xlfn.XLOOKUP(
    $B57,
    INDIRECT("'[storico profut.xlsm]Consiglio_Week'!B:B"),
    OFFSET( INDIRECT("'[storico profut.xlsm]Consiglio_Week'!$R:$R"), 0, COLUMNS($A:I)-1 )
  ),
  ""
)</f>
        <v/>
      </c>
      <c r="AU57" s="22" t="str" cm="1">
        <f t="array" aca="1" ref="AU57" ca="1">IFERROR(
  _xlfn.XLOOKUP(
    $B57,
    INDIRECT("'[storico profut.xlsm]Consiglio_Week'!B:B"),
    OFFSET( INDIRECT("'[storico profut.xlsm]Consiglio_Week'!$R:$R"), 0, COLUMNS($A:J)-1 )
  ),
  ""
)</f>
        <v/>
      </c>
      <c r="AV57" s="22" t="str" cm="1">
        <f t="array" aca="1" ref="AV57" ca="1">IFERROR(
  _xlfn.XLOOKUP(
    $B57,
    INDIRECT("'[storico profut.xlsm]Consiglio_Week'!B:B"),
    OFFSET( INDIRECT("'[storico profut.xlsm]Consiglio_Week'!$R:$R"), 0, COLUMNS($A:K)-1 )
  ),
  ""
)</f>
        <v/>
      </c>
      <c r="AW57" s="22" t="str" cm="1">
        <f t="array" aca="1" ref="AW57" ca="1">IFERROR(
  _xlfn.XLOOKUP(
    $B57,
    INDIRECT("'[storico profut.xlsm]Consiglio_Week'!B:B"),
    OFFSET( INDIRECT("'[storico profut.xlsm]Consiglio_Week'!$R:$R"), 0, COLUMNS($A:L)-1 )
  ),
  ""
)</f>
        <v/>
      </c>
      <c r="AX57" s="26" t="str" cm="1">
        <f t="array" aca="1" ref="AX57" ca="1">IFERROR(
  _xlfn.XLOOKUP(
    $B57,
    INDIRECT("'[storico profut.xlsm]Consiglio_Week'!B:B"),
    OFFSET( INDIRECT("'[storico profut.xlsm]Consiglio_Week'!$R:$R"), 0, COLUMNS($A:M)-1 )
  ),
  ""
)</f>
        <v/>
      </c>
      <c r="AY57" s="22">
        <v>0</v>
      </c>
    </row>
    <row r="58" spans="1:51">
      <c r="A58" t="s">
        <v>562</v>
      </c>
      <c r="B58" t="s">
        <v>503</v>
      </c>
      <c r="C58">
        <v>20</v>
      </c>
      <c r="D58">
        <v>2</v>
      </c>
      <c r="E58" s="6">
        <v>0.375</v>
      </c>
      <c r="F58" s="6">
        <v>0.625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t="s">
        <v>468</v>
      </c>
      <c r="R58">
        <v>2</v>
      </c>
      <c r="S58" t="s">
        <v>574</v>
      </c>
      <c r="AH58" t="str" cm="1">
        <f t="array" aca="1" ref="AH58" ca="1">+IFERROR(_xlfn.XLOOKUP($B58,INDIRECT("'[storico profut.xlsm]Consiglio_Week'!$B:$B"),INDIRECT("'[storico profut.xlsm]Consiglio_Week'!$I:$I")),"")</f>
        <v/>
      </c>
      <c r="AI58" t="str" cm="1">
        <f t="array" aca="1" ref="AI58" ca="1">+IFERROR(_xlfn.XLOOKUP($B58,INDIRECT("'[storico profut.xlsm]Consiglio_Week'!$B:$B"),INDIRECT("'[storico profut.xlsm]Consiglio_Week'!$L:$L")),"")</f>
        <v/>
      </c>
      <c r="AJ58" t="str" cm="1">
        <f t="array" aca="1" ref="AJ58" ca="1">+IFERROR(_xlfn.XLOOKUP($B58,INDIRECT("'[storico profut.xlsm]Consiglio_Week'!$B:$B"),INDIRECT("'[storico profut.xlsm]Consiglio_Week'!$M:$M")),"")</f>
        <v/>
      </c>
      <c r="AK58" t="str" cm="1">
        <f t="array" aca="1" ref="AK58" ca="1">+IFERROR(_xlfn.XLOOKUP($B58,INDIRECT("'[storico profut.xlsm]Consiglio_Week'!$B:$B"),INDIRECT("'[storico profut.xlsm]Consiglio_Week'!$P:$P")),"")</f>
        <v/>
      </c>
      <c r="AL58" s="21" t="str" cm="1">
        <f t="array" aca="1" ref="AL58" ca="1">IFERROR(
  _xlfn.XLOOKUP(
    $B58,
    INDIRECT("'[storico profut.xlsm]Consiglio_Week'!B:B"),
    OFFSET( INDIRECT("'[storico profut.xlsm]Consiglio_Week'!$R:$R"), 0, COLUMNS($A:A)-1 )
  ),
  ""
)</f>
        <v/>
      </c>
      <c r="AM58" s="21" t="str" cm="1">
        <f t="array" aca="1" ref="AM58" ca="1">IFERROR(
  _xlfn.XLOOKUP(
    $B58,
    INDIRECT("'[storico profut.xlsm]Consiglio_Week'!B:B"),
    OFFSET( INDIRECT("'[storico profut.xlsm]Consiglio_Week'!$R:$R"), 0, COLUMNS($A:B)-1 )
  ),
  ""
)</f>
        <v/>
      </c>
      <c r="AN58" s="21" t="str" cm="1">
        <f t="array" aca="1" ref="AN58" ca="1">IFERROR(
  _xlfn.XLOOKUP(
    $B58,
    INDIRECT("'[storico profut.xlsm]Consiglio_Week'!B:B"),
    OFFSET( INDIRECT("'[storico profut.xlsm]Consiglio_Week'!$R:$R"), 0, COLUMNS($A:C)-1 )
  ),
  ""
)</f>
        <v/>
      </c>
      <c r="AO58" s="21" t="str" cm="1">
        <f t="array" aca="1" ref="AO58" ca="1">IFERROR(
  _xlfn.XLOOKUP(
    $B58,
    INDIRECT("'[storico profut.xlsm]Consiglio_Week'!B:B"),
    OFFSET( INDIRECT("'[storico profut.xlsm]Consiglio_Week'!$R:$R"), 0, COLUMNS($A:D)-1 )
  ),
  ""
)</f>
        <v/>
      </c>
      <c r="AP58" s="21" t="str" cm="1">
        <f t="array" aca="1" ref="AP58" ca="1">IFERROR(
  _xlfn.XLOOKUP(
    $B58,
    INDIRECT("'[storico profut.xlsm]Consiglio_Week'!B:B"),
    OFFSET( INDIRECT("'[storico profut.xlsm]Consiglio_Week'!$R:$R"), 0, COLUMNS($A:E)-1 )
  ),
  ""
)</f>
        <v/>
      </c>
      <c r="AQ58" s="22" t="str" cm="1">
        <f t="array" aca="1" ref="AQ58" ca="1">IFERROR(
  _xlfn.XLOOKUP(
    $B58,
    INDIRECT("'[storico profut.xlsm]Consiglio_Week'!B:B"),
    OFFSET( INDIRECT("'[storico profut.xlsm]Consiglio_Week'!$R:$R"), 0, COLUMNS($A:F)-1 )
  ),
  ""
)</f>
        <v/>
      </c>
      <c r="AR58" s="21" t="str" cm="1">
        <f t="array" aca="1" ref="AR58" ca="1">IFERROR(
  _xlfn.XLOOKUP(
    $B58,
    INDIRECT("'[storico profut.xlsm]Consiglio_Week'!B:B"),
    OFFSET( INDIRECT("'[storico profut.xlsm]Consiglio_Week'!$R:$R"), 0, COLUMNS($A:G)-1 )
  ),
  ""
)</f>
        <v/>
      </c>
      <c r="AS58" s="21" t="str" cm="1">
        <f t="array" aca="1" ref="AS58" ca="1">IFERROR(
  _xlfn.XLOOKUP(
    $B58,
    INDIRECT("'[storico profut.xlsm]Consiglio_Week'!B:B"),
    OFFSET( INDIRECT("'[storico profut.xlsm]Consiglio_Week'!$R:$R"), 0, COLUMNS($A:H)-1 )
  ),
  ""
)</f>
        <v/>
      </c>
      <c r="AT58" s="21" t="str" cm="1">
        <f t="array" aca="1" ref="AT58" ca="1">IFERROR(
  _xlfn.XLOOKUP(
    $B58,
    INDIRECT("'[storico profut.xlsm]Consiglio_Week'!B:B"),
    OFFSET( INDIRECT("'[storico profut.xlsm]Consiglio_Week'!$R:$R"), 0, COLUMNS($A:I)-1 )
  ),
  ""
)</f>
        <v/>
      </c>
      <c r="AU58" s="22" t="str" cm="1">
        <f t="array" aca="1" ref="AU58" ca="1">IFERROR(
  _xlfn.XLOOKUP(
    $B58,
    INDIRECT("'[storico profut.xlsm]Consiglio_Week'!B:B"),
    OFFSET( INDIRECT("'[storico profut.xlsm]Consiglio_Week'!$R:$R"), 0, COLUMNS($A:J)-1 )
  ),
  ""
)</f>
        <v/>
      </c>
      <c r="AV58" s="22" t="str" cm="1">
        <f t="array" aca="1" ref="AV58" ca="1">IFERROR(
  _xlfn.XLOOKUP(
    $B58,
    INDIRECT("'[storico profut.xlsm]Consiglio_Week'!B:B"),
    OFFSET( INDIRECT("'[storico profut.xlsm]Consiglio_Week'!$R:$R"), 0, COLUMNS($A:K)-1 )
  ),
  ""
)</f>
        <v/>
      </c>
      <c r="AW58" s="22" t="str" cm="1">
        <f t="array" aca="1" ref="AW58" ca="1">IFERROR(
  _xlfn.XLOOKUP(
    $B58,
    INDIRECT("'[storico profut.xlsm]Consiglio_Week'!B:B"),
    OFFSET( INDIRECT("'[storico profut.xlsm]Consiglio_Week'!$R:$R"), 0, COLUMNS($A:L)-1 )
  ),
  ""
)</f>
        <v/>
      </c>
      <c r="AX58" s="26" t="str" cm="1">
        <f t="array" aca="1" ref="AX58" ca="1">IFERROR(
  _xlfn.XLOOKUP(
    $B58,
    INDIRECT("'[storico profut.xlsm]Consiglio_Week'!B:B"),
    OFFSET( INDIRECT("'[storico profut.xlsm]Consiglio_Week'!$R:$R"), 0, COLUMNS($A:M)-1 )
  ),
  ""
)</f>
        <v/>
      </c>
      <c r="AY58" s="22">
        <v>0</v>
      </c>
    </row>
    <row r="59" spans="1:51">
      <c r="A59" t="s">
        <v>563</v>
      </c>
      <c r="B59" t="s">
        <v>505</v>
      </c>
      <c r="C59">
        <v>21</v>
      </c>
      <c r="D59">
        <v>2</v>
      </c>
      <c r="E59" s="6">
        <v>0.375</v>
      </c>
      <c r="F59" s="6">
        <v>0.625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t="s">
        <v>472</v>
      </c>
      <c r="R59">
        <v>2</v>
      </c>
      <c r="S59" t="s">
        <v>574</v>
      </c>
      <c r="AH59" t="str" cm="1">
        <f t="array" aca="1" ref="AH59" ca="1">+IFERROR(_xlfn.XLOOKUP($B59,INDIRECT("'[storico profut.xlsm]Consiglio_Week'!$B:$B"),INDIRECT("'[storico profut.xlsm]Consiglio_Week'!$I:$I")),"")</f>
        <v/>
      </c>
      <c r="AI59" t="str" cm="1">
        <f t="array" aca="1" ref="AI59" ca="1">+IFERROR(_xlfn.XLOOKUP($B59,INDIRECT("'[storico profut.xlsm]Consiglio_Week'!$B:$B"),INDIRECT("'[storico profut.xlsm]Consiglio_Week'!$L:$L")),"")</f>
        <v/>
      </c>
      <c r="AJ59" t="str" cm="1">
        <f t="array" aca="1" ref="AJ59" ca="1">+IFERROR(_xlfn.XLOOKUP($B59,INDIRECT("'[storico profut.xlsm]Consiglio_Week'!$B:$B"),INDIRECT("'[storico profut.xlsm]Consiglio_Week'!$M:$M")),"")</f>
        <v/>
      </c>
      <c r="AK59" t="str" cm="1">
        <f t="array" aca="1" ref="AK59" ca="1">+IFERROR(_xlfn.XLOOKUP($B59,INDIRECT("'[storico profut.xlsm]Consiglio_Week'!$B:$B"),INDIRECT("'[storico profut.xlsm]Consiglio_Week'!$P:$P")),"")</f>
        <v/>
      </c>
      <c r="AL59" s="21" t="str" cm="1">
        <f t="array" aca="1" ref="AL59" ca="1">IFERROR(
  _xlfn.XLOOKUP(
    $B59,
    INDIRECT("'[storico profut.xlsm]Consiglio_Week'!B:B"),
    OFFSET( INDIRECT("'[storico profut.xlsm]Consiglio_Week'!$R:$R"), 0, COLUMNS($A:A)-1 )
  ),
  ""
)</f>
        <v/>
      </c>
      <c r="AM59" s="21" t="str" cm="1">
        <f t="array" aca="1" ref="AM59" ca="1">IFERROR(
  _xlfn.XLOOKUP(
    $B59,
    INDIRECT("'[storico profut.xlsm]Consiglio_Week'!B:B"),
    OFFSET( INDIRECT("'[storico profut.xlsm]Consiglio_Week'!$R:$R"), 0, COLUMNS($A:B)-1 )
  ),
  ""
)</f>
        <v/>
      </c>
      <c r="AN59" s="21" t="str" cm="1">
        <f t="array" aca="1" ref="AN59" ca="1">IFERROR(
  _xlfn.XLOOKUP(
    $B59,
    INDIRECT("'[storico profut.xlsm]Consiglio_Week'!B:B"),
    OFFSET( INDIRECT("'[storico profut.xlsm]Consiglio_Week'!$R:$R"), 0, COLUMNS($A:C)-1 )
  ),
  ""
)</f>
        <v/>
      </c>
      <c r="AO59" s="21" t="str" cm="1">
        <f t="array" aca="1" ref="AO59" ca="1">IFERROR(
  _xlfn.XLOOKUP(
    $B59,
    INDIRECT("'[storico profut.xlsm]Consiglio_Week'!B:B"),
    OFFSET( INDIRECT("'[storico profut.xlsm]Consiglio_Week'!$R:$R"), 0, COLUMNS($A:D)-1 )
  ),
  ""
)</f>
        <v/>
      </c>
      <c r="AP59" s="21" t="str" cm="1">
        <f t="array" aca="1" ref="AP59" ca="1">IFERROR(
  _xlfn.XLOOKUP(
    $B59,
    INDIRECT("'[storico profut.xlsm]Consiglio_Week'!B:B"),
    OFFSET( INDIRECT("'[storico profut.xlsm]Consiglio_Week'!$R:$R"), 0, COLUMNS($A:E)-1 )
  ),
  ""
)</f>
        <v/>
      </c>
      <c r="AQ59" s="22" t="str" cm="1">
        <f t="array" aca="1" ref="AQ59" ca="1">IFERROR(
  _xlfn.XLOOKUP(
    $B59,
    INDIRECT("'[storico profut.xlsm]Consiglio_Week'!B:B"),
    OFFSET( INDIRECT("'[storico profut.xlsm]Consiglio_Week'!$R:$R"), 0, COLUMNS($A:F)-1 )
  ),
  ""
)</f>
        <v/>
      </c>
      <c r="AR59" s="21" t="str" cm="1">
        <f t="array" aca="1" ref="AR59" ca="1">IFERROR(
  _xlfn.XLOOKUP(
    $B59,
    INDIRECT("'[storico profut.xlsm]Consiglio_Week'!B:B"),
    OFFSET( INDIRECT("'[storico profut.xlsm]Consiglio_Week'!$R:$R"), 0, COLUMNS($A:G)-1 )
  ),
  ""
)</f>
        <v/>
      </c>
      <c r="AS59" s="21" t="str" cm="1">
        <f t="array" aca="1" ref="AS59" ca="1">IFERROR(
  _xlfn.XLOOKUP(
    $B59,
    INDIRECT("'[storico profut.xlsm]Consiglio_Week'!B:B"),
    OFFSET( INDIRECT("'[storico profut.xlsm]Consiglio_Week'!$R:$R"), 0, COLUMNS($A:H)-1 )
  ),
  ""
)</f>
        <v/>
      </c>
      <c r="AT59" s="21" t="str" cm="1">
        <f t="array" aca="1" ref="AT59" ca="1">IFERROR(
  _xlfn.XLOOKUP(
    $B59,
    INDIRECT("'[storico profut.xlsm]Consiglio_Week'!B:B"),
    OFFSET( INDIRECT("'[storico profut.xlsm]Consiglio_Week'!$R:$R"), 0, COLUMNS($A:I)-1 )
  ),
  ""
)</f>
        <v/>
      </c>
      <c r="AU59" s="22" t="str" cm="1">
        <f t="array" aca="1" ref="AU59" ca="1">IFERROR(
  _xlfn.XLOOKUP(
    $B59,
    INDIRECT("'[storico profut.xlsm]Consiglio_Week'!B:B"),
    OFFSET( INDIRECT("'[storico profut.xlsm]Consiglio_Week'!$R:$R"), 0, COLUMNS($A:J)-1 )
  ),
  ""
)</f>
        <v/>
      </c>
      <c r="AV59" s="22" t="str" cm="1">
        <f t="array" aca="1" ref="AV59" ca="1">IFERROR(
  _xlfn.XLOOKUP(
    $B59,
    INDIRECT("'[storico profut.xlsm]Consiglio_Week'!B:B"),
    OFFSET( INDIRECT("'[storico profut.xlsm]Consiglio_Week'!$R:$R"), 0, COLUMNS($A:K)-1 )
  ),
  ""
)</f>
        <v/>
      </c>
      <c r="AW59" s="22" t="str" cm="1">
        <f t="array" aca="1" ref="AW59" ca="1">IFERROR(
  _xlfn.XLOOKUP(
    $B59,
    INDIRECT("'[storico profut.xlsm]Consiglio_Week'!B:B"),
    OFFSET( INDIRECT("'[storico profut.xlsm]Consiglio_Week'!$R:$R"), 0, COLUMNS($A:L)-1 )
  ),
  ""
)</f>
        <v/>
      </c>
      <c r="AX59" s="26" t="str" cm="1">
        <f t="array" aca="1" ref="AX59" ca="1">IFERROR(
  _xlfn.XLOOKUP(
    $B59,
    INDIRECT("'[storico profut.xlsm]Consiglio_Week'!B:B"),
    OFFSET( INDIRECT("'[storico profut.xlsm]Consiglio_Week'!$R:$R"), 0, COLUMNS($A:M)-1 )
  ),
  ""
)</f>
        <v/>
      </c>
      <c r="AY59" s="22">
        <v>0</v>
      </c>
    </row>
    <row r="60" spans="1:51">
      <c r="A60" t="s">
        <v>564</v>
      </c>
      <c r="B60" t="s">
        <v>506</v>
      </c>
      <c r="C60">
        <v>20</v>
      </c>
      <c r="D60">
        <v>2</v>
      </c>
      <c r="E60" s="6">
        <v>0.375</v>
      </c>
      <c r="F60" s="6">
        <v>0.625</v>
      </c>
      <c r="G60" s="5"/>
      <c r="H60" s="5" t="s">
        <v>640</v>
      </c>
      <c r="I60" s="5"/>
      <c r="J60" s="5"/>
      <c r="K60" s="5"/>
      <c r="L60" s="5"/>
      <c r="M60" s="5"/>
      <c r="N60" s="5"/>
      <c r="O60" s="5"/>
      <c r="P60" s="5"/>
      <c r="Q60" t="s">
        <v>468</v>
      </c>
      <c r="R60">
        <v>2</v>
      </c>
      <c r="S60" t="s">
        <v>574</v>
      </c>
      <c r="Z60" t="s">
        <v>640</v>
      </c>
      <c r="AA60" t="s">
        <v>640</v>
      </c>
      <c r="AH60" t="str" cm="1">
        <f t="array" aca="1" ref="AH60" ca="1">+IFERROR(_xlfn.XLOOKUP($B60,INDIRECT("'[storico profut.xlsm]Consiglio_Week'!$B:$B"),INDIRECT("'[storico profut.xlsm]Consiglio_Week'!$I:$I")),"")</f>
        <v/>
      </c>
      <c r="AI60" t="str" cm="1">
        <f t="array" aca="1" ref="AI60" ca="1">+IFERROR(_xlfn.XLOOKUP($B60,INDIRECT("'[storico profut.xlsm]Consiglio_Week'!$B:$B"),INDIRECT("'[storico profut.xlsm]Consiglio_Week'!$L:$L")),"")</f>
        <v/>
      </c>
      <c r="AJ60" t="str" cm="1">
        <f t="array" aca="1" ref="AJ60" ca="1">+IFERROR(_xlfn.XLOOKUP($B60,INDIRECT("'[storico profut.xlsm]Consiglio_Week'!$B:$B"),INDIRECT("'[storico profut.xlsm]Consiglio_Week'!$M:$M")),"")</f>
        <v/>
      </c>
      <c r="AK60" t="str" cm="1">
        <f t="array" aca="1" ref="AK60" ca="1">+IFERROR(_xlfn.XLOOKUP($B60,INDIRECT("'[storico profut.xlsm]Consiglio_Week'!$B:$B"),INDIRECT("'[storico profut.xlsm]Consiglio_Week'!$P:$P")),"")</f>
        <v/>
      </c>
      <c r="AL60" s="21" t="str" cm="1">
        <f t="array" aca="1" ref="AL60" ca="1">IFERROR(
  _xlfn.XLOOKUP(
    $B60,
    INDIRECT("'[storico profut.xlsm]Consiglio_Week'!B:B"),
    OFFSET( INDIRECT("'[storico profut.xlsm]Consiglio_Week'!$R:$R"), 0, COLUMNS($A:A)-1 )
  ),
  ""
)</f>
        <v/>
      </c>
      <c r="AM60" s="21" t="str" cm="1">
        <f t="array" aca="1" ref="AM60" ca="1">IFERROR(
  _xlfn.XLOOKUP(
    $B60,
    INDIRECT("'[storico profut.xlsm]Consiglio_Week'!B:B"),
    OFFSET( INDIRECT("'[storico profut.xlsm]Consiglio_Week'!$R:$R"), 0, COLUMNS($A:B)-1 )
  ),
  ""
)</f>
        <v/>
      </c>
      <c r="AN60" s="21" t="str" cm="1">
        <f t="array" aca="1" ref="AN60" ca="1">IFERROR(
  _xlfn.XLOOKUP(
    $B60,
    INDIRECT("'[storico profut.xlsm]Consiglio_Week'!B:B"),
    OFFSET( INDIRECT("'[storico profut.xlsm]Consiglio_Week'!$R:$R"), 0, COLUMNS($A:C)-1 )
  ),
  ""
)</f>
        <v/>
      </c>
      <c r="AO60" s="21" t="str" cm="1">
        <f t="array" aca="1" ref="AO60" ca="1">IFERROR(
  _xlfn.XLOOKUP(
    $B60,
    INDIRECT("'[storico profut.xlsm]Consiglio_Week'!B:B"),
    OFFSET( INDIRECT("'[storico profut.xlsm]Consiglio_Week'!$R:$R"), 0, COLUMNS($A:D)-1 )
  ),
  ""
)</f>
        <v/>
      </c>
      <c r="AP60" s="21" t="str" cm="1">
        <f t="array" aca="1" ref="AP60" ca="1">IFERROR(
  _xlfn.XLOOKUP(
    $B60,
    INDIRECT("'[storico profut.xlsm]Consiglio_Week'!B:B"),
    OFFSET( INDIRECT("'[storico profut.xlsm]Consiglio_Week'!$R:$R"), 0, COLUMNS($A:E)-1 )
  ),
  ""
)</f>
        <v/>
      </c>
      <c r="AQ60" s="22" t="str" cm="1">
        <f t="array" aca="1" ref="AQ60" ca="1">IFERROR(
  _xlfn.XLOOKUP(
    $B60,
    INDIRECT("'[storico profut.xlsm]Consiglio_Week'!B:B"),
    OFFSET( INDIRECT("'[storico profut.xlsm]Consiglio_Week'!$R:$R"), 0, COLUMNS($A:F)-1 )
  ),
  ""
)</f>
        <v/>
      </c>
      <c r="AR60" s="21" t="str" cm="1">
        <f t="array" aca="1" ref="AR60" ca="1">IFERROR(
  _xlfn.XLOOKUP(
    $B60,
    INDIRECT("'[storico profut.xlsm]Consiglio_Week'!B:B"),
    OFFSET( INDIRECT("'[storico profut.xlsm]Consiglio_Week'!$R:$R"), 0, COLUMNS($A:G)-1 )
  ),
  ""
)</f>
        <v/>
      </c>
      <c r="AS60" s="21" t="str" cm="1">
        <f t="array" aca="1" ref="AS60" ca="1">IFERROR(
  _xlfn.XLOOKUP(
    $B60,
    INDIRECT("'[storico profut.xlsm]Consiglio_Week'!B:B"),
    OFFSET( INDIRECT("'[storico profut.xlsm]Consiglio_Week'!$R:$R"), 0, COLUMNS($A:H)-1 )
  ),
  ""
)</f>
        <v/>
      </c>
      <c r="AT60" s="21" t="str" cm="1">
        <f t="array" aca="1" ref="AT60" ca="1">IFERROR(
  _xlfn.XLOOKUP(
    $B60,
    INDIRECT("'[storico profut.xlsm]Consiglio_Week'!B:B"),
    OFFSET( INDIRECT("'[storico profut.xlsm]Consiglio_Week'!$R:$R"), 0, COLUMNS($A:I)-1 )
  ),
  ""
)</f>
        <v/>
      </c>
      <c r="AU60" s="22" t="str" cm="1">
        <f t="array" aca="1" ref="AU60" ca="1">IFERROR(
  _xlfn.XLOOKUP(
    $B60,
    INDIRECT("'[storico profut.xlsm]Consiglio_Week'!B:B"),
    OFFSET( INDIRECT("'[storico profut.xlsm]Consiglio_Week'!$R:$R"), 0, COLUMNS($A:J)-1 )
  ),
  ""
)</f>
        <v/>
      </c>
      <c r="AV60" s="22" t="str" cm="1">
        <f t="array" aca="1" ref="AV60" ca="1">IFERROR(
  _xlfn.XLOOKUP(
    $B60,
    INDIRECT("'[storico profut.xlsm]Consiglio_Week'!B:B"),
    OFFSET( INDIRECT("'[storico profut.xlsm]Consiglio_Week'!$R:$R"), 0, COLUMNS($A:K)-1 )
  ),
  ""
)</f>
        <v/>
      </c>
      <c r="AW60" s="22" t="str" cm="1">
        <f t="array" aca="1" ref="AW60" ca="1">IFERROR(
  _xlfn.XLOOKUP(
    $B60,
    INDIRECT("'[storico profut.xlsm]Consiglio_Week'!B:B"),
    OFFSET( INDIRECT("'[storico profut.xlsm]Consiglio_Week'!$R:$R"), 0, COLUMNS($A:L)-1 )
  ),
  ""
)</f>
        <v/>
      </c>
      <c r="AX60" s="26" t="str" cm="1">
        <f t="array" aca="1" ref="AX60" ca="1">IFERROR(
  _xlfn.XLOOKUP(
    $B60,
    INDIRECT("'[storico profut.xlsm]Consiglio_Week'!B:B"),
    OFFSET( INDIRECT("'[storico profut.xlsm]Consiglio_Week'!$R:$R"), 0, COLUMNS($A:M)-1 )
  ),
  ""
)</f>
        <v/>
      </c>
      <c r="AY60" s="22">
        <v>0</v>
      </c>
    </row>
    <row r="61" spans="1:51">
      <c r="A61" t="s">
        <v>565</v>
      </c>
      <c r="B61" t="s">
        <v>509</v>
      </c>
      <c r="C61">
        <v>20</v>
      </c>
      <c r="D61">
        <v>2</v>
      </c>
      <c r="E61" s="6">
        <v>0.375</v>
      </c>
      <c r="F61" s="6">
        <v>0.625</v>
      </c>
      <c r="G61" s="5" t="s">
        <v>640</v>
      </c>
      <c r="H61" s="5" t="s">
        <v>640</v>
      </c>
      <c r="I61" s="5"/>
      <c r="J61" s="5"/>
      <c r="K61" s="5"/>
      <c r="L61" s="5"/>
      <c r="M61" s="5"/>
      <c r="N61" s="5"/>
      <c r="O61" s="5"/>
      <c r="P61" s="5"/>
      <c r="Q61" t="s">
        <v>468</v>
      </c>
      <c r="R61">
        <v>2</v>
      </c>
      <c r="S61" t="s">
        <v>574</v>
      </c>
      <c r="AH61" t="str" cm="1">
        <f t="array" aca="1" ref="AH61" ca="1">+IFERROR(_xlfn.XLOOKUP($B61,INDIRECT("'[storico profut.xlsm]Consiglio_Week'!$B:$B"),INDIRECT("'[storico profut.xlsm]Consiglio_Week'!$I:$I")),"")</f>
        <v/>
      </c>
      <c r="AI61" t="str" cm="1">
        <f t="array" aca="1" ref="AI61" ca="1">+IFERROR(_xlfn.XLOOKUP($B61,INDIRECT("'[storico profut.xlsm]Consiglio_Week'!$B:$B"),INDIRECT("'[storico profut.xlsm]Consiglio_Week'!$L:$L")),"")</f>
        <v/>
      </c>
      <c r="AJ61" t="str" cm="1">
        <f t="array" aca="1" ref="AJ61" ca="1">+IFERROR(_xlfn.XLOOKUP($B61,INDIRECT("'[storico profut.xlsm]Consiglio_Week'!$B:$B"),INDIRECT("'[storico profut.xlsm]Consiglio_Week'!$M:$M")),"")</f>
        <v/>
      </c>
      <c r="AK61" t="str" cm="1">
        <f t="array" aca="1" ref="AK61" ca="1">+IFERROR(_xlfn.XLOOKUP($B61,INDIRECT("'[storico profut.xlsm]Consiglio_Week'!$B:$B"),INDIRECT("'[storico profut.xlsm]Consiglio_Week'!$P:$P")),"")</f>
        <v/>
      </c>
      <c r="AL61" s="21" t="str" cm="1">
        <f t="array" aca="1" ref="AL61" ca="1">IFERROR(
  _xlfn.XLOOKUP(
    $B61,
    INDIRECT("'[storico profut.xlsm]Consiglio_Week'!B:B"),
    OFFSET( INDIRECT("'[storico profut.xlsm]Consiglio_Week'!$R:$R"), 0, COLUMNS($A:A)-1 )
  ),
  ""
)</f>
        <v/>
      </c>
      <c r="AM61" s="21" t="str" cm="1">
        <f t="array" aca="1" ref="AM61" ca="1">IFERROR(
  _xlfn.XLOOKUP(
    $B61,
    INDIRECT("'[storico profut.xlsm]Consiglio_Week'!B:B"),
    OFFSET( INDIRECT("'[storico profut.xlsm]Consiglio_Week'!$R:$R"), 0, COLUMNS($A:B)-1 )
  ),
  ""
)</f>
        <v/>
      </c>
      <c r="AN61" s="21" t="str" cm="1">
        <f t="array" aca="1" ref="AN61" ca="1">IFERROR(
  _xlfn.XLOOKUP(
    $B61,
    INDIRECT("'[storico profut.xlsm]Consiglio_Week'!B:B"),
    OFFSET( INDIRECT("'[storico profut.xlsm]Consiglio_Week'!$R:$R"), 0, COLUMNS($A:C)-1 )
  ),
  ""
)</f>
        <v/>
      </c>
      <c r="AO61" s="21" t="str" cm="1">
        <f t="array" aca="1" ref="AO61" ca="1">IFERROR(
  _xlfn.XLOOKUP(
    $B61,
    INDIRECT("'[storico profut.xlsm]Consiglio_Week'!B:B"),
    OFFSET( INDIRECT("'[storico profut.xlsm]Consiglio_Week'!$R:$R"), 0, COLUMNS($A:D)-1 )
  ),
  ""
)</f>
        <v/>
      </c>
      <c r="AP61" s="21" t="str" cm="1">
        <f t="array" aca="1" ref="AP61" ca="1">IFERROR(
  _xlfn.XLOOKUP(
    $B61,
    INDIRECT("'[storico profut.xlsm]Consiglio_Week'!B:B"),
    OFFSET( INDIRECT("'[storico profut.xlsm]Consiglio_Week'!$R:$R"), 0, COLUMNS($A:E)-1 )
  ),
  ""
)</f>
        <v/>
      </c>
      <c r="AQ61" s="22" t="str" cm="1">
        <f t="array" aca="1" ref="AQ61" ca="1">IFERROR(
  _xlfn.XLOOKUP(
    $B61,
    INDIRECT("'[storico profut.xlsm]Consiglio_Week'!B:B"),
    OFFSET( INDIRECT("'[storico profut.xlsm]Consiglio_Week'!$R:$R"), 0, COLUMNS($A:F)-1 )
  ),
  ""
)</f>
        <v/>
      </c>
      <c r="AR61" s="21" t="str" cm="1">
        <f t="array" aca="1" ref="AR61" ca="1">IFERROR(
  _xlfn.XLOOKUP(
    $B61,
    INDIRECT("'[storico profut.xlsm]Consiglio_Week'!B:B"),
    OFFSET( INDIRECT("'[storico profut.xlsm]Consiglio_Week'!$R:$R"), 0, COLUMNS($A:G)-1 )
  ),
  ""
)</f>
        <v/>
      </c>
      <c r="AS61" s="21" t="str" cm="1">
        <f t="array" aca="1" ref="AS61" ca="1">IFERROR(
  _xlfn.XLOOKUP(
    $B61,
    INDIRECT("'[storico profut.xlsm]Consiglio_Week'!B:B"),
    OFFSET( INDIRECT("'[storico profut.xlsm]Consiglio_Week'!$R:$R"), 0, COLUMNS($A:H)-1 )
  ),
  ""
)</f>
        <v/>
      </c>
      <c r="AT61" s="21" t="str" cm="1">
        <f t="array" aca="1" ref="AT61" ca="1">IFERROR(
  _xlfn.XLOOKUP(
    $B61,
    INDIRECT("'[storico profut.xlsm]Consiglio_Week'!B:B"),
    OFFSET( INDIRECT("'[storico profut.xlsm]Consiglio_Week'!$R:$R"), 0, COLUMNS($A:I)-1 )
  ),
  ""
)</f>
        <v/>
      </c>
      <c r="AU61" s="22" t="str" cm="1">
        <f t="array" aca="1" ref="AU61" ca="1">IFERROR(
  _xlfn.XLOOKUP(
    $B61,
    INDIRECT("'[storico profut.xlsm]Consiglio_Week'!B:B"),
    OFFSET( INDIRECT("'[storico profut.xlsm]Consiglio_Week'!$R:$R"), 0, COLUMNS($A:J)-1 )
  ),
  ""
)</f>
        <v/>
      </c>
      <c r="AV61" s="22" t="str" cm="1">
        <f t="array" aca="1" ref="AV61" ca="1">IFERROR(
  _xlfn.XLOOKUP(
    $B61,
    INDIRECT("'[storico profut.xlsm]Consiglio_Week'!B:B"),
    OFFSET( INDIRECT("'[storico profut.xlsm]Consiglio_Week'!$R:$R"), 0, COLUMNS($A:K)-1 )
  ),
  ""
)</f>
        <v/>
      </c>
      <c r="AW61" s="22" t="str" cm="1">
        <f t="array" aca="1" ref="AW61" ca="1">IFERROR(
  _xlfn.XLOOKUP(
    $B61,
    INDIRECT("'[storico profut.xlsm]Consiglio_Week'!B:B"),
    OFFSET( INDIRECT("'[storico profut.xlsm]Consiglio_Week'!$R:$R"), 0, COLUMNS($A:L)-1 )
  ),
  ""
)</f>
        <v/>
      </c>
      <c r="AX61" s="26" t="str" cm="1">
        <f t="array" aca="1" ref="AX61" ca="1">IFERROR(
  _xlfn.XLOOKUP(
    $B61,
    INDIRECT("'[storico profut.xlsm]Consiglio_Week'!B:B"),
    OFFSET( INDIRECT("'[storico profut.xlsm]Consiglio_Week'!$R:$R"), 0, COLUMNS($A:M)-1 )
  ),
  ""
)</f>
        <v/>
      </c>
      <c r="AY61" s="22">
        <v>0</v>
      </c>
    </row>
    <row r="62" spans="1:51">
      <c r="A62" t="s">
        <v>566</v>
      </c>
      <c r="B62" t="s">
        <v>511</v>
      </c>
      <c r="C62">
        <v>20</v>
      </c>
      <c r="D62">
        <v>2</v>
      </c>
      <c r="E62" s="6">
        <v>0.625</v>
      </c>
      <c r="F62" s="6">
        <v>0.875</v>
      </c>
      <c r="G62" s="5" t="s">
        <v>640</v>
      </c>
      <c r="H62" s="5" t="s">
        <v>640</v>
      </c>
      <c r="I62" s="5"/>
      <c r="J62" s="5"/>
      <c r="K62" s="5"/>
      <c r="L62" s="5"/>
      <c r="M62" s="5"/>
      <c r="N62" s="5"/>
      <c r="O62" s="5"/>
      <c r="P62" s="5"/>
      <c r="Q62" t="s">
        <v>468</v>
      </c>
      <c r="R62">
        <v>2</v>
      </c>
      <c r="S62" t="s">
        <v>574</v>
      </c>
      <c r="AH62" t="str" cm="1">
        <f t="array" aca="1" ref="AH62" ca="1">+IFERROR(_xlfn.XLOOKUP($B62,INDIRECT("'[storico profut.xlsm]Consiglio_Week'!$B:$B"),INDIRECT("'[storico profut.xlsm]Consiglio_Week'!$I:$I")),"")</f>
        <v/>
      </c>
      <c r="AI62" t="str" cm="1">
        <f t="array" aca="1" ref="AI62" ca="1">+IFERROR(_xlfn.XLOOKUP($B62,INDIRECT("'[storico profut.xlsm]Consiglio_Week'!$B:$B"),INDIRECT("'[storico profut.xlsm]Consiglio_Week'!$L:$L")),"")</f>
        <v/>
      </c>
      <c r="AJ62" t="str" cm="1">
        <f t="array" aca="1" ref="AJ62" ca="1">+IFERROR(_xlfn.XLOOKUP($B62,INDIRECT("'[storico profut.xlsm]Consiglio_Week'!$B:$B"),INDIRECT("'[storico profut.xlsm]Consiglio_Week'!$M:$M")),"")</f>
        <v/>
      </c>
      <c r="AK62" t="str" cm="1">
        <f t="array" aca="1" ref="AK62" ca="1">+IFERROR(_xlfn.XLOOKUP($B62,INDIRECT("'[storico profut.xlsm]Consiglio_Week'!$B:$B"),INDIRECT("'[storico profut.xlsm]Consiglio_Week'!$P:$P")),"")</f>
        <v/>
      </c>
      <c r="AL62" s="21" t="str" cm="1">
        <f t="array" aca="1" ref="AL62" ca="1">IFERROR(
  _xlfn.XLOOKUP(
    $B62,
    INDIRECT("'[storico profut.xlsm]Consiglio_Week'!B:B"),
    OFFSET( INDIRECT("'[storico profut.xlsm]Consiglio_Week'!$R:$R"), 0, COLUMNS($A:A)-1 )
  ),
  ""
)</f>
        <v/>
      </c>
      <c r="AM62" s="21" t="str" cm="1">
        <f t="array" aca="1" ref="AM62" ca="1">IFERROR(
  _xlfn.XLOOKUP(
    $B62,
    INDIRECT("'[storico profut.xlsm]Consiglio_Week'!B:B"),
    OFFSET( INDIRECT("'[storico profut.xlsm]Consiglio_Week'!$R:$R"), 0, COLUMNS($A:B)-1 )
  ),
  ""
)</f>
        <v/>
      </c>
      <c r="AN62" s="21" t="str" cm="1">
        <f t="array" aca="1" ref="AN62" ca="1">IFERROR(
  _xlfn.XLOOKUP(
    $B62,
    INDIRECT("'[storico profut.xlsm]Consiglio_Week'!B:B"),
    OFFSET( INDIRECT("'[storico profut.xlsm]Consiglio_Week'!$R:$R"), 0, COLUMNS($A:C)-1 )
  ),
  ""
)</f>
        <v/>
      </c>
      <c r="AO62" s="21" t="str" cm="1">
        <f t="array" aca="1" ref="AO62" ca="1">IFERROR(
  _xlfn.XLOOKUP(
    $B62,
    INDIRECT("'[storico profut.xlsm]Consiglio_Week'!B:B"),
    OFFSET( INDIRECT("'[storico profut.xlsm]Consiglio_Week'!$R:$R"), 0, COLUMNS($A:D)-1 )
  ),
  ""
)</f>
        <v/>
      </c>
      <c r="AP62" s="21" t="str" cm="1">
        <f t="array" aca="1" ref="AP62" ca="1">IFERROR(
  _xlfn.XLOOKUP(
    $B62,
    INDIRECT("'[storico profut.xlsm]Consiglio_Week'!B:B"),
    OFFSET( INDIRECT("'[storico profut.xlsm]Consiglio_Week'!$R:$R"), 0, COLUMNS($A:E)-1 )
  ),
  ""
)</f>
        <v/>
      </c>
      <c r="AQ62" s="22" t="str" cm="1">
        <f t="array" aca="1" ref="AQ62" ca="1">IFERROR(
  _xlfn.XLOOKUP(
    $B62,
    INDIRECT("'[storico profut.xlsm]Consiglio_Week'!B:B"),
    OFFSET( INDIRECT("'[storico profut.xlsm]Consiglio_Week'!$R:$R"), 0, COLUMNS($A:F)-1 )
  ),
  ""
)</f>
        <v/>
      </c>
      <c r="AR62" s="21" t="str" cm="1">
        <f t="array" aca="1" ref="AR62" ca="1">IFERROR(
  _xlfn.XLOOKUP(
    $B62,
    INDIRECT("'[storico profut.xlsm]Consiglio_Week'!B:B"),
    OFFSET( INDIRECT("'[storico profut.xlsm]Consiglio_Week'!$R:$R"), 0, COLUMNS($A:G)-1 )
  ),
  ""
)</f>
        <v/>
      </c>
      <c r="AS62" s="21" t="str" cm="1">
        <f t="array" aca="1" ref="AS62" ca="1">IFERROR(
  _xlfn.XLOOKUP(
    $B62,
    INDIRECT("'[storico profut.xlsm]Consiglio_Week'!B:B"),
    OFFSET( INDIRECT("'[storico profut.xlsm]Consiglio_Week'!$R:$R"), 0, COLUMNS($A:H)-1 )
  ),
  ""
)</f>
        <v/>
      </c>
      <c r="AT62" s="21" t="str" cm="1">
        <f t="array" aca="1" ref="AT62" ca="1">IFERROR(
  _xlfn.XLOOKUP(
    $B62,
    INDIRECT("'[storico profut.xlsm]Consiglio_Week'!B:B"),
    OFFSET( INDIRECT("'[storico profut.xlsm]Consiglio_Week'!$R:$R"), 0, COLUMNS($A:I)-1 )
  ),
  ""
)</f>
        <v/>
      </c>
      <c r="AU62" s="22" t="str" cm="1">
        <f t="array" aca="1" ref="AU62" ca="1">IFERROR(
  _xlfn.XLOOKUP(
    $B62,
    INDIRECT("'[storico profut.xlsm]Consiglio_Week'!B:B"),
    OFFSET( INDIRECT("'[storico profut.xlsm]Consiglio_Week'!$R:$R"), 0, COLUMNS($A:J)-1 )
  ),
  ""
)</f>
        <v/>
      </c>
      <c r="AV62" s="22" t="str" cm="1">
        <f t="array" aca="1" ref="AV62" ca="1">IFERROR(
  _xlfn.XLOOKUP(
    $B62,
    INDIRECT("'[storico profut.xlsm]Consiglio_Week'!B:B"),
    OFFSET( INDIRECT("'[storico profut.xlsm]Consiglio_Week'!$R:$R"), 0, COLUMNS($A:K)-1 )
  ),
  ""
)</f>
        <v/>
      </c>
      <c r="AW62" s="22" t="str" cm="1">
        <f t="array" aca="1" ref="AW62" ca="1">IFERROR(
  _xlfn.XLOOKUP(
    $B62,
    INDIRECT("'[storico profut.xlsm]Consiglio_Week'!B:B"),
    OFFSET( INDIRECT("'[storico profut.xlsm]Consiglio_Week'!$R:$R"), 0, COLUMNS($A:L)-1 )
  ),
  ""
)</f>
        <v/>
      </c>
      <c r="AX62" s="26" t="str" cm="1">
        <f t="array" aca="1" ref="AX62" ca="1">IFERROR(
  _xlfn.XLOOKUP(
    $B62,
    INDIRECT("'[storico profut.xlsm]Consiglio_Week'!B:B"),
    OFFSET( INDIRECT("'[storico profut.xlsm]Consiglio_Week'!$R:$R"), 0, COLUMNS($A:M)-1 )
  ),
  ""
)</f>
        <v/>
      </c>
      <c r="AY62" s="22">
        <v>0</v>
      </c>
    </row>
    <row r="63" spans="1:51">
      <c r="A63" t="s">
        <v>567</v>
      </c>
      <c r="B63" t="s">
        <v>512</v>
      </c>
      <c r="C63">
        <v>20</v>
      </c>
      <c r="D63">
        <v>2</v>
      </c>
      <c r="E63" s="6">
        <v>0.375</v>
      </c>
      <c r="F63" s="6">
        <v>0.625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t="s">
        <v>468</v>
      </c>
      <c r="R63">
        <v>2</v>
      </c>
      <c r="S63" t="s">
        <v>574</v>
      </c>
      <c r="AH63" t="str" cm="1">
        <f t="array" aca="1" ref="AH63" ca="1">+IFERROR(_xlfn.XLOOKUP($B63,INDIRECT("'[storico profut.xlsm]Consiglio_Week'!$B:$B"),INDIRECT("'[storico profut.xlsm]Consiglio_Week'!$I:$I")),"")</f>
        <v/>
      </c>
      <c r="AI63" t="str" cm="1">
        <f t="array" aca="1" ref="AI63" ca="1">+IFERROR(_xlfn.XLOOKUP($B63,INDIRECT("'[storico profut.xlsm]Consiglio_Week'!$B:$B"),INDIRECT("'[storico profut.xlsm]Consiglio_Week'!$L:$L")),"")</f>
        <v/>
      </c>
      <c r="AJ63" t="str" cm="1">
        <f t="array" aca="1" ref="AJ63" ca="1">+IFERROR(_xlfn.XLOOKUP($B63,INDIRECT("'[storico profut.xlsm]Consiglio_Week'!$B:$B"),INDIRECT("'[storico profut.xlsm]Consiglio_Week'!$M:$M")),"")</f>
        <v/>
      </c>
      <c r="AK63" t="str" cm="1">
        <f t="array" aca="1" ref="AK63" ca="1">+IFERROR(_xlfn.XLOOKUP($B63,INDIRECT("'[storico profut.xlsm]Consiglio_Week'!$B:$B"),INDIRECT("'[storico profut.xlsm]Consiglio_Week'!$P:$P")),"")</f>
        <v/>
      </c>
      <c r="AL63" s="21" t="str" cm="1">
        <f t="array" aca="1" ref="AL63" ca="1">IFERROR(
  _xlfn.XLOOKUP(
    $B63,
    INDIRECT("'[storico profut.xlsm]Consiglio_Week'!B:B"),
    OFFSET( INDIRECT("'[storico profut.xlsm]Consiglio_Week'!$R:$R"), 0, COLUMNS($A:A)-1 )
  ),
  ""
)</f>
        <v/>
      </c>
      <c r="AM63" s="21" t="str" cm="1">
        <f t="array" aca="1" ref="AM63" ca="1">IFERROR(
  _xlfn.XLOOKUP(
    $B63,
    INDIRECT("'[storico profut.xlsm]Consiglio_Week'!B:B"),
    OFFSET( INDIRECT("'[storico profut.xlsm]Consiglio_Week'!$R:$R"), 0, COLUMNS($A:B)-1 )
  ),
  ""
)</f>
        <v/>
      </c>
      <c r="AN63" s="21" t="str" cm="1">
        <f t="array" aca="1" ref="AN63" ca="1">IFERROR(
  _xlfn.XLOOKUP(
    $B63,
    INDIRECT("'[storico profut.xlsm]Consiglio_Week'!B:B"),
    OFFSET( INDIRECT("'[storico profut.xlsm]Consiglio_Week'!$R:$R"), 0, COLUMNS($A:C)-1 )
  ),
  ""
)</f>
        <v/>
      </c>
      <c r="AO63" s="21" t="str" cm="1">
        <f t="array" aca="1" ref="AO63" ca="1">IFERROR(
  _xlfn.XLOOKUP(
    $B63,
    INDIRECT("'[storico profut.xlsm]Consiglio_Week'!B:B"),
    OFFSET( INDIRECT("'[storico profut.xlsm]Consiglio_Week'!$R:$R"), 0, COLUMNS($A:D)-1 )
  ),
  ""
)</f>
        <v/>
      </c>
      <c r="AP63" s="21" t="str" cm="1">
        <f t="array" aca="1" ref="AP63" ca="1">IFERROR(
  _xlfn.XLOOKUP(
    $B63,
    INDIRECT("'[storico profut.xlsm]Consiglio_Week'!B:B"),
    OFFSET( INDIRECT("'[storico profut.xlsm]Consiglio_Week'!$R:$R"), 0, COLUMNS($A:E)-1 )
  ),
  ""
)</f>
        <v/>
      </c>
      <c r="AQ63" s="22" t="str" cm="1">
        <f t="array" aca="1" ref="AQ63" ca="1">IFERROR(
  _xlfn.XLOOKUP(
    $B63,
    INDIRECT("'[storico profut.xlsm]Consiglio_Week'!B:B"),
    OFFSET( INDIRECT("'[storico profut.xlsm]Consiglio_Week'!$R:$R"), 0, COLUMNS($A:F)-1 )
  ),
  ""
)</f>
        <v/>
      </c>
      <c r="AR63" s="21" t="str" cm="1">
        <f t="array" aca="1" ref="AR63" ca="1">IFERROR(
  _xlfn.XLOOKUP(
    $B63,
    INDIRECT("'[storico profut.xlsm]Consiglio_Week'!B:B"),
    OFFSET( INDIRECT("'[storico profut.xlsm]Consiglio_Week'!$R:$R"), 0, COLUMNS($A:G)-1 )
  ),
  ""
)</f>
        <v/>
      </c>
      <c r="AS63" s="21" t="str" cm="1">
        <f t="array" aca="1" ref="AS63" ca="1">IFERROR(
  _xlfn.XLOOKUP(
    $B63,
    INDIRECT("'[storico profut.xlsm]Consiglio_Week'!B:B"),
    OFFSET( INDIRECT("'[storico profut.xlsm]Consiglio_Week'!$R:$R"), 0, COLUMNS($A:H)-1 )
  ),
  ""
)</f>
        <v/>
      </c>
      <c r="AT63" s="21" t="str" cm="1">
        <f t="array" aca="1" ref="AT63" ca="1">IFERROR(
  _xlfn.XLOOKUP(
    $B63,
    INDIRECT("'[storico profut.xlsm]Consiglio_Week'!B:B"),
    OFFSET( INDIRECT("'[storico profut.xlsm]Consiglio_Week'!$R:$R"), 0, COLUMNS($A:I)-1 )
  ),
  ""
)</f>
        <v/>
      </c>
      <c r="AU63" s="22" t="str" cm="1">
        <f t="array" aca="1" ref="AU63" ca="1">IFERROR(
  _xlfn.XLOOKUP(
    $B63,
    INDIRECT("'[storico profut.xlsm]Consiglio_Week'!B:B"),
    OFFSET( INDIRECT("'[storico profut.xlsm]Consiglio_Week'!$R:$R"), 0, COLUMNS($A:J)-1 )
  ),
  ""
)</f>
        <v/>
      </c>
      <c r="AV63" s="22" t="str" cm="1">
        <f t="array" aca="1" ref="AV63" ca="1">IFERROR(
  _xlfn.XLOOKUP(
    $B63,
    INDIRECT("'[storico profut.xlsm]Consiglio_Week'!B:B"),
    OFFSET( INDIRECT("'[storico profut.xlsm]Consiglio_Week'!$R:$R"), 0, COLUMNS($A:K)-1 )
  ),
  ""
)</f>
        <v/>
      </c>
      <c r="AW63" s="22" t="str" cm="1">
        <f t="array" aca="1" ref="AW63" ca="1">IFERROR(
  _xlfn.XLOOKUP(
    $B63,
    INDIRECT("'[storico profut.xlsm]Consiglio_Week'!B:B"),
    OFFSET( INDIRECT("'[storico profut.xlsm]Consiglio_Week'!$R:$R"), 0, COLUMNS($A:L)-1 )
  ),
  ""
)</f>
        <v/>
      </c>
      <c r="AX63" s="26" t="str" cm="1">
        <f t="array" aca="1" ref="AX63" ca="1">IFERROR(
  _xlfn.XLOOKUP(
    $B63,
    INDIRECT("'[storico profut.xlsm]Consiglio_Week'!B:B"),
    OFFSET( INDIRECT("'[storico profut.xlsm]Consiglio_Week'!$R:$R"), 0, COLUMNS($A:M)-1 )
  ),
  ""
)</f>
        <v/>
      </c>
      <c r="AY63" s="22">
        <v>0</v>
      </c>
    </row>
    <row r="64" spans="1:51">
      <c r="A64" t="s">
        <v>568</v>
      </c>
      <c r="B64" t="s">
        <v>513</v>
      </c>
      <c r="C64">
        <v>20</v>
      </c>
      <c r="D64">
        <v>2</v>
      </c>
      <c r="E64" s="16">
        <v>0.375</v>
      </c>
      <c r="F64" s="16">
        <v>0.58333333333333337</v>
      </c>
      <c r="G64" s="5"/>
      <c r="H64" s="5" t="s">
        <v>640</v>
      </c>
      <c r="I64" s="5"/>
      <c r="J64" s="5"/>
      <c r="K64" s="5"/>
      <c r="L64" s="5"/>
      <c r="M64" s="5"/>
      <c r="N64" s="5"/>
      <c r="O64" s="5"/>
      <c r="P64" s="5"/>
      <c r="Q64" t="s">
        <v>468</v>
      </c>
      <c r="R64">
        <v>0</v>
      </c>
      <c r="S64" t="s">
        <v>574</v>
      </c>
      <c r="AH64" t="str" cm="1">
        <f t="array" aca="1" ref="AH64" ca="1">+IFERROR(_xlfn.XLOOKUP($B64,INDIRECT("'[storico profut.xlsm]Consiglio_Week'!$B:$B"),INDIRECT("'[storico profut.xlsm]Consiglio_Week'!$I:$I")),"")</f>
        <v/>
      </c>
      <c r="AI64" t="str" cm="1">
        <f t="array" aca="1" ref="AI64" ca="1">+IFERROR(_xlfn.XLOOKUP($B64,INDIRECT("'[storico profut.xlsm]Consiglio_Week'!$B:$B"),INDIRECT("'[storico profut.xlsm]Consiglio_Week'!$L:$L")),"")</f>
        <v/>
      </c>
      <c r="AJ64" t="str" cm="1">
        <f t="array" aca="1" ref="AJ64" ca="1">+IFERROR(_xlfn.XLOOKUP($B64,INDIRECT("'[storico profut.xlsm]Consiglio_Week'!$B:$B"),INDIRECT("'[storico profut.xlsm]Consiglio_Week'!$M:$M")),"")</f>
        <v/>
      </c>
      <c r="AK64" t="str" cm="1">
        <f t="array" aca="1" ref="AK64" ca="1">+IFERROR(_xlfn.XLOOKUP($B64,INDIRECT("'[storico profut.xlsm]Consiglio_Week'!$B:$B"),INDIRECT("'[storico profut.xlsm]Consiglio_Week'!$P:$P")),"")</f>
        <v/>
      </c>
      <c r="AL64" s="21" t="str" cm="1">
        <f t="array" aca="1" ref="AL64" ca="1">IFERROR(
  _xlfn.XLOOKUP(
    $B64,
    INDIRECT("'[storico profut.xlsm]Consiglio_Week'!B:B"),
    OFFSET( INDIRECT("'[storico profut.xlsm]Consiglio_Week'!$R:$R"), 0, COLUMNS($A:A)-1 )
  ),
  ""
)</f>
        <v/>
      </c>
      <c r="AM64" s="21" t="str" cm="1">
        <f t="array" aca="1" ref="AM64" ca="1">IFERROR(
  _xlfn.XLOOKUP(
    $B64,
    INDIRECT("'[storico profut.xlsm]Consiglio_Week'!B:B"),
    OFFSET( INDIRECT("'[storico profut.xlsm]Consiglio_Week'!$R:$R"), 0, COLUMNS($A:B)-1 )
  ),
  ""
)</f>
        <v/>
      </c>
      <c r="AN64" s="21" t="str" cm="1">
        <f t="array" aca="1" ref="AN64" ca="1">IFERROR(
  _xlfn.XLOOKUP(
    $B64,
    INDIRECT("'[storico profut.xlsm]Consiglio_Week'!B:B"),
    OFFSET( INDIRECT("'[storico profut.xlsm]Consiglio_Week'!$R:$R"), 0, COLUMNS($A:C)-1 )
  ),
  ""
)</f>
        <v/>
      </c>
      <c r="AO64" s="21" t="str" cm="1">
        <f t="array" aca="1" ref="AO64" ca="1">IFERROR(
  _xlfn.XLOOKUP(
    $B64,
    INDIRECT("'[storico profut.xlsm]Consiglio_Week'!B:B"),
    OFFSET( INDIRECT("'[storico profut.xlsm]Consiglio_Week'!$R:$R"), 0, COLUMNS($A:D)-1 )
  ),
  ""
)</f>
        <v/>
      </c>
      <c r="AP64" s="21" t="str" cm="1">
        <f t="array" aca="1" ref="AP64" ca="1">IFERROR(
  _xlfn.XLOOKUP(
    $B64,
    INDIRECT("'[storico profut.xlsm]Consiglio_Week'!B:B"),
    OFFSET( INDIRECT("'[storico profut.xlsm]Consiglio_Week'!$R:$R"), 0, COLUMNS($A:E)-1 )
  ),
  ""
)</f>
        <v/>
      </c>
      <c r="AQ64" s="22" t="str" cm="1">
        <f t="array" aca="1" ref="AQ64" ca="1">IFERROR(
  _xlfn.XLOOKUP(
    $B64,
    INDIRECT("'[storico profut.xlsm]Consiglio_Week'!B:B"),
    OFFSET( INDIRECT("'[storico profut.xlsm]Consiglio_Week'!$R:$R"), 0, COLUMNS($A:F)-1 )
  ),
  ""
)</f>
        <v/>
      </c>
      <c r="AR64" s="21" t="str" cm="1">
        <f t="array" aca="1" ref="AR64" ca="1">IFERROR(
  _xlfn.XLOOKUP(
    $B64,
    INDIRECT("'[storico profut.xlsm]Consiglio_Week'!B:B"),
    OFFSET( INDIRECT("'[storico profut.xlsm]Consiglio_Week'!$R:$R"), 0, COLUMNS($A:G)-1 )
  ),
  ""
)</f>
        <v/>
      </c>
      <c r="AS64" s="21" t="str" cm="1">
        <f t="array" aca="1" ref="AS64" ca="1">IFERROR(
  _xlfn.XLOOKUP(
    $B64,
    INDIRECT("'[storico profut.xlsm]Consiglio_Week'!B:B"),
    OFFSET( INDIRECT("'[storico profut.xlsm]Consiglio_Week'!$R:$R"), 0, COLUMNS($A:H)-1 )
  ),
  ""
)</f>
        <v/>
      </c>
      <c r="AT64" s="21" t="str" cm="1">
        <f t="array" aca="1" ref="AT64" ca="1">IFERROR(
  _xlfn.XLOOKUP(
    $B64,
    INDIRECT("'[storico profut.xlsm]Consiglio_Week'!B:B"),
    OFFSET( INDIRECT("'[storico profut.xlsm]Consiglio_Week'!$R:$R"), 0, COLUMNS($A:I)-1 )
  ),
  ""
)</f>
        <v/>
      </c>
      <c r="AU64" s="22" t="str" cm="1">
        <f t="array" aca="1" ref="AU64" ca="1">IFERROR(
  _xlfn.XLOOKUP(
    $B64,
    INDIRECT("'[storico profut.xlsm]Consiglio_Week'!B:B"),
    OFFSET( INDIRECT("'[storico profut.xlsm]Consiglio_Week'!$R:$R"), 0, COLUMNS($A:J)-1 )
  ),
  ""
)</f>
        <v/>
      </c>
      <c r="AV64" s="22" t="str" cm="1">
        <f t="array" aca="1" ref="AV64" ca="1">IFERROR(
  _xlfn.XLOOKUP(
    $B64,
    INDIRECT("'[storico profut.xlsm]Consiglio_Week'!B:B"),
    OFFSET( INDIRECT("'[storico profut.xlsm]Consiglio_Week'!$R:$R"), 0, COLUMNS($A:K)-1 )
  ),
  ""
)</f>
        <v/>
      </c>
      <c r="AW64" s="22" t="str" cm="1">
        <f t="array" aca="1" ref="AW64" ca="1">IFERROR(
  _xlfn.XLOOKUP(
    $B64,
    INDIRECT("'[storico profut.xlsm]Consiglio_Week'!B:B"),
    OFFSET( INDIRECT("'[storico profut.xlsm]Consiglio_Week'!$R:$R"), 0, COLUMNS($A:L)-1 )
  ),
  ""
)</f>
        <v/>
      </c>
      <c r="AX64" s="26" t="str" cm="1">
        <f t="array" aca="1" ref="AX64" ca="1">IFERROR(
  _xlfn.XLOOKUP(
    $B64,
    INDIRECT("'[storico profut.xlsm]Consiglio_Week'!B:B"),
    OFFSET( INDIRECT("'[storico profut.xlsm]Consiglio_Week'!$R:$R"), 0, COLUMNS($A:M)-1 )
  ),
  ""
)</f>
        <v/>
      </c>
      <c r="AY64" s="22" t="s">
        <v>637</v>
      </c>
    </row>
    <row r="65" spans="1:51">
      <c r="A65" t="s">
        <v>569</v>
      </c>
      <c r="B65" t="s">
        <v>514</v>
      </c>
      <c r="C65">
        <v>20</v>
      </c>
      <c r="D65">
        <v>2</v>
      </c>
      <c r="E65" s="6">
        <v>0.625</v>
      </c>
      <c r="F65" s="6">
        <v>0.875</v>
      </c>
      <c r="G65" s="5"/>
      <c r="H65" s="5" t="s">
        <v>640</v>
      </c>
      <c r="I65" s="5"/>
      <c r="J65" s="5"/>
      <c r="K65" s="5"/>
      <c r="L65" s="5"/>
      <c r="M65" s="5"/>
      <c r="N65" s="5"/>
      <c r="O65" s="5"/>
      <c r="P65" s="5"/>
      <c r="Q65" t="s">
        <v>468</v>
      </c>
      <c r="R65">
        <v>2</v>
      </c>
      <c r="S65" t="s">
        <v>574</v>
      </c>
      <c r="AB65" t="s">
        <v>640</v>
      </c>
      <c r="AC65" t="s">
        <v>640</v>
      </c>
      <c r="AH65" t="str" cm="1">
        <f t="array" aca="1" ref="AH65" ca="1">+IFERROR(_xlfn.XLOOKUP($B65,INDIRECT("'[storico profut.xlsm]Consiglio_Week'!$B:$B"),INDIRECT("'[storico profut.xlsm]Consiglio_Week'!$I:$I")),"")</f>
        <v/>
      </c>
      <c r="AI65" t="str" cm="1">
        <f t="array" aca="1" ref="AI65" ca="1">+IFERROR(_xlfn.XLOOKUP($B65,INDIRECT("'[storico profut.xlsm]Consiglio_Week'!$B:$B"),INDIRECT("'[storico profut.xlsm]Consiglio_Week'!$L:$L")),"")</f>
        <v/>
      </c>
      <c r="AJ65" t="str" cm="1">
        <f t="array" aca="1" ref="AJ65" ca="1">+IFERROR(_xlfn.XLOOKUP($B65,INDIRECT("'[storico profut.xlsm]Consiglio_Week'!$B:$B"),INDIRECT("'[storico profut.xlsm]Consiglio_Week'!$M:$M")),"")</f>
        <v/>
      </c>
      <c r="AK65" t="str" cm="1">
        <f t="array" aca="1" ref="AK65" ca="1">+IFERROR(_xlfn.XLOOKUP($B65,INDIRECT("'[storico profut.xlsm]Consiglio_Week'!$B:$B"),INDIRECT("'[storico profut.xlsm]Consiglio_Week'!$P:$P")),"")</f>
        <v/>
      </c>
      <c r="AL65" s="21" t="str" cm="1">
        <f t="array" aca="1" ref="AL65" ca="1">IFERROR(
  _xlfn.XLOOKUP(
    $B65,
    INDIRECT("'[storico profut.xlsm]Consiglio_Week'!B:B"),
    OFFSET( INDIRECT("'[storico profut.xlsm]Consiglio_Week'!$R:$R"), 0, COLUMNS($A:A)-1 )
  ),
  ""
)</f>
        <v/>
      </c>
      <c r="AM65" s="21" t="str" cm="1">
        <f t="array" aca="1" ref="AM65" ca="1">IFERROR(
  _xlfn.XLOOKUP(
    $B65,
    INDIRECT("'[storico profut.xlsm]Consiglio_Week'!B:B"),
    OFFSET( INDIRECT("'[storico profut.xlsm]Consiglio_Week'!$R:$R"), 0, COLUMNS($A:B)-1 )
  ),
  ""
)</f>
        <v/>
      </c>
      <c r="AN65" s="21" t="str" cm="1">
        <f t="array" aca="1" ref="AN65" ca="1">IFERROR(
  _xlfn.XLOOKUP(
    $B65,
    INDIRECT("'[storico profut.xlsm]Consiglio_Week'!B:B"),
    OFFSET( INDIRECT("'[storico profut.xlsm]Consiglio_Week'!$R:$R"), 0, COLUMNS($A:C)-1 )
  ),
  ""
)</f>
        <v/>
      </c>
      <c r="AO65" s="21" t="str" cm="1">
        <f t="array" aca="1" ref="AO65" ca="1">IFERROR(
  _xlfn.XLOOKUP(
    $B65,
    INDIRECT("'[storico profut.xlsm]Consiglio_Week'!B:B"),
    OFFSET( INDIRECT("'[storico profut.xlsm]Consiglio_Week'!$R:$R"), 0, COLUMNS($A:D)-1 )
  ),
  ""
)</f>
        <v/>
      </c>
      <c r="AP65" s="21" t="str" cm="1">
        <f t="array" aca="1" ref="AP65" ca="1">IFERROR(
  _xlfn.XLOOKUP(
    $B65,
    INDIRECT("'[storico profut.xlsm]Consiglio_Week'!B:B"),
    OFFSET( INDIRECT("'[storico profut.xlsm]Consiglio_Week'!$R:$R"), 0, COLUMNS($A:E)-1 )
  ),
  ""
)</f>
        <v/>
      </c>
      <c r="AQ65" s="22" t="str" cm="1">
        <f t="array" aca="1" ref="AQ65" ca="1">IFERROR(
  _xlfn.XLOOKUP(
    $B65,
    INDIRECT("'[storico profut.xlsm]Consiglio_Week'!B:B"),
    OFFSET( INDIRECT("'[storico profut.xlsm]Consiglio_Week'!$R:$R"), 0, COLUMNS($A:F)-1 )
  ),
  ""
)</f>
        <v/>
      </c>
      <c r="AR65" s="21" t="str" cm="1">
        <f t="array" aca="1" ref="AR65" ca="1">IFERROR(
  _xlfn.XLOOKUP(
    $B65,
    INDIRECT("'[storico profut.xlsm]Consiglio_Week'!B:B"),
    OFFSET( INDIRECT("'[storico profut.xlsm]Consiglio_Week'!$R:$R"), 0, COLUMNS($A:G)-1 )
  ),
  ""
)</f>
        <v/>
      </c>
      <c r="AS65" s="21" t="str" cm="1">
        <f t="array" aca="1" ref="AS65" ca="1">IFERROR(
  _xlfn.XLOOKUP(
    $B65,
    INDIRECT("'[storico profut.xlsm]Consiglio_Week'!B:B"),
    OFFSET( INDIRECT("'[storico profut.xlsm]Consiglio_Week'!$R:$R"), 0, COLUMNS($A:H)-1 )
  ),
  ""
)</f>
        <v/>
      </c>
      <c r="AT65" s="21" t="str" cm="1">
        <f t="array" aca="1" ref="AT65" ca="1">IFERROR(
  _xlfn.XLOOKUP(
    $B65,
    INDIRECT("'[storico profut.xlsm]Consiglio_Week'!B:B"),
    OFFSET( INDIRECT("'[storico profut.xlsm]Consiglio_Week'!$R:$R"), 0, COLUMNS($A:I)-1 )
  ),
  ""
)</f>
        <v/>
      </c>
      <c r="AU65" s="22" t="str" cm="1">
        <f t="array" aca="1" ref="AU65" ca="1">IFERROR(
  _xlfn.XLOOKUP(
    $B65,
    INDIRECT("'[storico profut.xlsm]Consiglio_Week'!B:B"),
    OFFSET( INDIRECT("'[storico profut.xlsm]Consiglio_Week'!$R:$R"), 0, COLUMNS($A:J)-1 )
  ),
  ""
)</f>
        <v/>
      </c>
      <c r="AV65" s="22" t="str" cm="1">
        <f t="array" aca="1" ref="AV65" ca="1">IFERROR(
  _xlfn.XLOOKUP(
    $B65,
    INDIRECT("'[storico profut.xlsm]Consiglio_Week'!B:B"),
    OFFSET( INDIRECT("'[storico profut.xlsm]Consiglio_Week'!$R:$R"), 0, COLUMNS($A:K)-1 )
  ),
  ""
)</f>
        <v/>
      </c>
      <c r="AW65" s="22" t="str" cm="1">
        <f t="array" aca="1" ref="AW65" ca="1">IFERROR(
  _xlfn.XLOOKUP(
    $B65,
    INDIRECT("'[storico profut.xlsm]Consiglio_Week'!B:B"),
    OFFSET( INDIRECT("'[storico profut.xlsm]Consiglio_Week'!$R:$R"), 0, COLUMNS($A:L)-1 )
  ),
  ""
)</f>
        <v/>
      </c>
      <c r="AX65" s="26" t="str" cm="1">
        <f t="array" aca="1" ref="AX65" ca="1">IFERROR(
  _xlfn.XLOOKUP(
    $B65,
    INDIRECT("'[storico profut.xlsm]Consiglio_Week'!B:B"),
    OFFSET( INDIRECT("'[storico profut.xlsm]Consiglio_Week'!$R:$R"), 0, COLUMNS($A:M)-1 )
  ),
  ""
)</f>
        <v/>
      </c>
      <c r="AY65" s="22">
        <v>0</v>
      </c>
    </row>
    <row r="66" spans="1:51">
      <c r="A66" t="s">
        <v>570</v>
      </c>
      <c r="B66" t="s">
        <v>515</v>
      </c>
      <c r="C66">
        <v>20</v>
      </c>
      <c r="D66">
        <v>2</v>
      </c>
      <c r="E66" s="6">
        <v>0.625</v>
      </c>
      <c r="F66" s="6">
        <v>0.875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t="s">
        <v>468</v>
      </c>
      <c r="R66">
        <v>2</v>
      </c>
      <c r="S66" t="s">
        <v>574</v>
      </c>
      <c r="AH66" t="str" cm="1">
        <f t="array" aca="1" ref="AH66" ca="1">+IFERROR(_xlfn.XLOOKUP($B66,INDIRECT("'[storico profut.xlsm]Consiglio_Week'!$B:$B"),INDIRECT("'[storico profut.xlsm]Consiglio_Week'!$I:$I")),"")</f>
        <v/>
      </c>
      <c r="AI66" t="str" cm="1">
        <f t="array" aca="1" ref="AI66" ca="1">+IFERROR(_xlfn.XLOOKUP($B66,INDIRECT("'[storico profut.xlsm]Consiglio_Week'!$B:$B"),INDIRECT("'[storico profut.xlsm]Consiglio_Week'!$L:$L")),"")</f>
        <v/>
      </c>
      <c r="AJ66" t="str" cm="1">
        <f t="array" aca="1" ref="AJ66" ca="1">+IFERROR(_xlfn.XLOOKUP($B66,INDIRECT("'[storico profut.xlsm]Consiglio_Week'!$B:$B"),INDIRECT("'[storico profut.xlsm]Consiglio_Week'!$M:$M")),"")</f>
        <v/>
      </c>
      <c r="AK66" t="str" cm="1">
        <f t="array" aca="1" ref="AK66" ca="1">+IFERROR(_xlfn.XLOOKUP($B66,INDIRECT("'[storico profut.xlsm]Consiglio_Week'!$B:$B"),INDIRECT("'[storico profut.xlsm]Consiglio_Week'!$P:$P")),"")</f>
        <v/>
      </c>
      <c r="AL66" s="21" t="str" cm="1">
        <f t="array" aca="1" ref="AL66" ca="1">IFERROR(
  _xlfn.XLOOKUP(
    $B66,
    INDIRECT("'[storico profut.xlsm]Consiglio_Week'!B:B"),
    OFFSET( INDIRECT("'[storico profut.xlsm]Consiglio_Week'!$R:$R"), 0, COLUMNS($A:A)-1 )
  ),
  ""
)</f>
        <v/>
      </c>
      <c r="AM66" s="21" t="str" cm="1">
        <f t="array" aca="1" ref="AM66" ca="1">IFERROR(
  _xlfn.XLOOKUP(
    $B66,
    INDIRECT("'[storico profut.xlsm]Consiglio_Week'!B:B"),
    OFFSET( INDIRECT("'[storico profut.xlsm]Consiglio_Week'!$R:$R"), 0, COLUMNS($A:B)-1 )
  ),
  ""
)</f>
        <v/>
      </c>
      <c r="AN66" s="21" t="str" cm="1">
        <f t="array" aca="1" ref="AN66" ca="1">IFERROR(
  _xlfn.XLOOKUP(
    $B66,
    INDIRECT("'[storico profut.xlsm]Consiglio_Week'!B:B"),
    OFFSET( INDIRECT("'[storico profut.xlsm]Consiglio_Week'!$R:$R"), 0, COLUMNS($A:C)-1 )
  ),
  ""
)</f>
        <v/>
      </c>
      <c r="AO66" s="21" t="str" cm="1">
        <f t="array" aca="1" ref="AO66" ca="1">IFERROR(
  _xlfn.XLOOKUP(
    $B66,
    INDIRECT("'[storico profut.xlsm]Consiglio_Week'!B:B"),
    OFFSET( INDIRECT("'[storico profut.xlsm]Consiglio_Week'!$R:$R"), 0, COLUMNS($A:D)-1 )
  ),
  ""
)</f>
        <v/>
      </c>
      <c r="AP66" s="21" t="str" cm="1">
        <f t="array" aca="1" ref="AP66" ca="1">IFERROR(
  _xlfn.XLOOKUP(
    $B66,
    INDIRECT("'[storico profut.xlsm]Consiglio_Week'!B:B"),
    OFFSET( INDIRECT("'[storico profut.xlsm]Consiglio_Week'!$R:$R"), 0, COLUMNS($A:E)-1 )
  ),
  ""
)</f>
        <v/>
      </c>
      <c r="AQ66" s="22" t="str" cm="1">
        <f t="array" aca="1" ref="AQ66" ca="1">IFERROR(
  _xlfn.XLOOKUP(
    $B66,
    INDIRECT("'[storico profut.xlsm]Consiglio_Week'!B:B"),
    OFFSET( INDIRECT("'[storico profut.xlsm]Consiglio_Week'!$R:$R"), 0, COLUMNS($A:F)-1 )
  ),
  ""
)</f>
        <v/>
      </c>
      <c r="AR66" s="21" t="str" cm="1">
        <f t="array" aca="1" ref="AR66" ca="1">IFERROR(
  _xlfn.XLOOKUP(
    $B66,
    INDIRECT("'[storico profut.xlsm]Consiglio_Week'!B:B"),
    OFFSET( INDIRECT("'[storico profut.xlsm]Consiglio_Week'!$R:$R"), 0, COLUMNS($A:G)-1 )
  ),
  ""
)</f>
        <v/>
      </c>
      <c r="AS66" s="21" t="str" cm="1">
        <f t="array" aca="1" ref="AS66" ca="1">IFERROR(
  _xlfn.XLOOKUP(
    $B66,
    INDIRECT("'[storico profut.xlsm]Consiglio_Week'!B:B"),
    OFFSET( INDIRECT("'[storico profut.xlsm]Consiglio_Week'!$R:$R"), 0, COLUMNS($A:H)-1 )
  ),
  ""
)</f>
        <v/>
      </c>
      <c r="AT66" s="21" t="str" cm="1">
        <f t="array" aca="1" ref="AT66" ca="1">IFERROR(
  _xlfn.XLOOKUP(
    $B66,
    INDIRECT("'[storico profut.xlsm]Consiglio_Week'!B:B"),
    OFFSET( INDIRECT("'[storico profut.xlsm]Consiglio_Week'!$R:$R"), 0, COLUMNS($A:I)-1 )
  ),
  ""
)</f>
        <v/>
      </c>
      <c r="AU66" s="22" t="str" cm="1">
        <f t="array" aca="1" ref="AU66" ca="1">IFERROR(
  _xlfn.XLOOKUP(
    $B66,
    INDIRECT("'[storico profut.xlsm]Consiglio_Week'!B:B"),
    OFFSET( INDIRECT("'[storico profut.xlsm]Consiglio_Week'!$R:$R"), 0, COLUMNS($A:J)-1 )
  ),
  ""
)</f>
        <v/>
      </c>
      <c r="AV66" s="22" t="str" cm="1">
        <f t="array" aca="1" ref="AV66" ca="1">IFERROR(
  _xlfn.XLOOKUP(
    $B66,
    INDIRECT("'[storico profut.xlsm]Consiglio_Week'!B:B"),
    OFFSET( INDIRECT("'[storico profut.xlsm]Consiglio_Week'!$R:$R"), 0, COLUMNS($A:K)-1 )
  ),
  ""
)</f>
        <v/>
      </c>
      <c r="AW66" s="22" t="str" cm="1">
        <f t="array" aca="1" ref="AW66" ca="1">IFERROR(
  _xlfn.XLOOKUP(
    $B66,
    INDIRECT("'[storico profut.xlsm]Consiglio_Week'!B:B"),
    OFFSET( INDIRECT("'[storico profut.xlsm]Consiglio_Week'!$R:$R"), 0, COLUMNS($A:L)-1 )
  ),
  ""
)</f>
        <v/>
      </c>
      <c r="AX66" s="26" t="str" cm="1">
        <f t="array" aca="1" ref="AX66" ca="1">IFERROR(
  _xlfn.XLOOKUP(
    $B66,
    INDIRECT("'[storico profut.xlsm]Consiglio_Week'!B:B"),
    OFFSET( INDIRECT("'[storico profut.xlsm]Consiglio_Week'!$R:$R"), 0, COLUMNS($A:M)-1 )
  ),
  ""
)</f>
        <v/>
      </c>
      <c r="AY66" s="22" t="s">
        <v>638</v>
      </c>
    </row>
    <row r="67" spans="1:51">
      <c r="A67" t="s">
        <v>571</v>
      </c>
      <c r="B67" t="s">
        <v>486</v>
      </c>
      <c r="C67">
        <v>20</v>
      </c>
      <c r="D67">
        <v>2</v>
      </c>
      <c r="E67" s="6">
        <v>0.375</v>
      </c>
      <c r="F67" s="6">
        <v>0.625</v>
      </c>
      <c r="G67" t="s">
        <v>640</v>
      </c>
      <c r="H67" t="s">
        <v>640</v>
      </c>
      <c r="Q67" t="s">
        <v>468</v>
      </c>
      <c r="R67">
        <v>1</v>
      </c>
      <c r="S67" t="s">
        <v>607</v>
      </c>
      <c r="AH67" t="str" cm="1">
        <f t="array" aca="1" ref="AH67" ca="1">+IFERROR(_xlfn.XLOOKUP($B67,INDIRECT("'[storico profut.xlsm]Consiglio_Week'!$B:$B"),INDIRECT("'[storico profut.xlsm]Consiglio_Week'!$I:$I")),"")</f>
        <v/>
      </c>
      <c r="AI67" t="str" cm="1">
        <f t="array" aca="1" ref="AI67" ca="1">+IFERROR(_xlfn.XLOOKUP($B67,INDIRECT("'[storico profut.xlsm]Consiglio_Week'!$B:$B"),INDIRECT("'[storico profut.xlsm]Consiglio_Week'!$L:$L")),"")</f>
        <v/>
      </c>
      <c r="AJ67" t="str" cm="1">
        <f t="array" aca="1" ref="AJ67" ca="1">+IFERROR(_xlfn.XLOOKUP($B67,INDIRECT("'[storico profut.xlsm]Consiglio_Week'!$B:$B"),INDIRECT("'[storico profut.xlsm]Consiglio_Week'!$M:$M")),"")</f>
        <v/>
      </c>
      <c r="AK67" t="str" cm="1">
        <f t="array" aca="1" ref="AK67" ca="1">+IFERROR(_xlfn.XLOOKUP($B67,INDIRECT("'[storico profut.xlsm]Consiglio_Week'!$B:$B"),INDIRECT("'[storico profut.xlsm]Consiglio_Week'!$P:$P")),"")</f>
        <v/>
      </c>
      <c r="AL67" s="21" t="str" cm="1">
        <f t="array" aca="1" ref="AL67" ca="1">IFERROR(
  _xlfn.XLOOKUP(
    $B67,
    INDIRECT("'[storico profut.xlsm]Consiglio_Week'!B:B"),
    OFFSET( INDIRECT("'[storico profut.xlsm]Consiglio_Week'!$R:$R"), 0, COLUMNS($A:A)-1 )
  ),
  ""
)</f>
        <v/>
      </c>
      <c r="AM67" s="21" t="str" cm="1">
        <f t="array" aca="1" ref="AM67" ca="1">IFERROR(
  _xlfn.XLOOKUP(
    $B67,
    INDIRECT("'[storico profut.xlsm]Consiglio_Week'!B:B"),
    OFFSET( INDIRECT("'[storico profut.xlsm]Consiglio_Week'!$R:$R"), 0, COLUMNS($A:B)-1 )
  ),
  ""
)</f>
        <v/>
      </c>
      <c r="AN67" s="21" t="str" cm="1">
        <f t="array" aca="1" ref="AN67" ca="1">IFERROR(
  _xlfn.XLOOKUP(
    $B67,
    INDIRECT("'[storico profut.xlsm]Consiglio_Week'!B:B"),
    OFFSET( INDIRECT("'[storico profut.xlsm]Consiglio_Week'!$R:$R"), 0, COLUMNS($A:C)-1 )
  ),
  ""
)</f>
        <v/>
      </c>
      <c r="AO67" s="21" t="str" cm="1">
        <f t="array" aca="1" ref="AO67" ca="1">IFERROR(
  _xlfn.XLOOKUP(
    $B67,
    INDIRECT("'[storico profut.xlsm]Consiglio_Week'!B:B"),
    OFFSET( INDIRECT("'[storico profut.xlsm]Consiglio_Week'!$R:$R"), 0, COLUMNS($A:D)-1 )
  ),
  ""
)</f>
        <v/>
      </c>
      <c r="AP67" s="21" t="str" cm="1">
        <f t="array" aca="1" ref="AP67" ca="1">IFERROR(
  _xlfn.XLOOKUP(
    $B67,
    INDIRECT("'[storico profut.xlsm]Consiglio_Week'!B:B"),
    OFFSET( INDIRECT("'[storico profut.xlsm]Consiglio_Week'!$R:$R"), 0, COLUMNS($A:E)-1 )
  ),
  ""
)</f>
        <v/>
      </c>
      <c r="AQ67" s="22" t="str" cm="1">
        <f t="array" aca="1" ref="AQ67" ca="1">IFERROR(
  _xlfn.XLOOKUP(
    $B67,
    INDIRECT("'[storico profut.xlsm]Consiglio_Week'!B:B"),
    OFFSET( INDIRECT("'[storico profut.xlsm]Consiglio_Week'!$R:$R"), 0, COLUMNS($A:F)-1 )
  ),
  ""
)</f>
        <v/>
      </c>
      <c r="AR67" s="21" t="str" cm="1">
        <f t="array" aca="1" ref="AR67" ca="1">IFERROR(
  _xlfn.XLOOKUP(
    $B67,
    INDIRECT("'[storico profut.xlsm]Consiglio_Week'!B:B"),
    OFFSET( INDIRECT("'[storico profut.xlsm]Consiglio_Week'!$R:$R"), 0, COLUMNS($A:G)-1 )
  ),
  ""
)</f>
        <v/>
      </c>
      <c r="AS67" s="21" t="str" cm="1">
        <f t="array" aca="1" ref="AS67" ca="1">IFERROR(
  _xlfn.XLOOKUP(
    $B67,
    INDIRECT("'[storico profut.xlsm]Consiglio_Week'!B:B"),
    OFFSET( INDIRECT("'[storico profut.xlsm]Consiglio_Week'!$R:$R"), 0, COLUMNS($A:H)-1 )
  ),
  ""
)</f>
        <v/>
      </c>
      <c r="AT67" s="21" t="str" cm="1">
        <f t="array" aca="1" ref="AT67" ca="1">IFERROR(
  _xlfn.XLOOKUP(
    $B67,
    INDIRECT("'[storico profut.xlsm]Consiglio_Week'!B:B"),
    OFFSET( INDIRECT("'[storico profut.xlsm]Consiglio_Week'!$R:$R"), 0, COLUMNS($A:I)-1 )
  ),
  ""
)</f>
        <v/>
      </c>
      <c r="AU67" s="22" t="str" cm="1">
        <f t="array" aca="1" ref="AU67" ca="1">IFERROR(
  _xlfn.XLOOKUP(
    $B67,
    INDIRECT("'[storico profut.xlsm]Consiglio_Week'!B:B"),
    OFFSET( INDIRECT("'[storico profut.xlsm]Consiglio_Week'!$R:$R"), 0, COLUMNS($A:J)-1 )
  ),
  ""
)</f>
        <v/>
      </c>
      <c r="AV67" s="22" t="str" cm="1">
        <f t="array" aca="1" ref="AV67" ca="1">IFERROR(
  _xlfn.XLOOKUP(
    $B67,
    INDIRECT("'[storico profut.xlsm]Consiglio_Week'!B:B"),
    OFFSET( INDIRECT("'[storico profut.xlsm]Consiglio_Week'!$R:$R"), 0, COLUMNS($A:K)-1 )
  ),
  ""
)</f>
        <v/>
      </c>
      <c r="AW67" s="22" t="str" cm="1">
        <f t="array" aca="1" ref="AW67" ca="1">IFERROR(
  _xlfn.XLOOKUP(
    $B67,
    INDIRECT("'[storico profut.xlsm]Consiglio_Week'!B:B"),
    OFFSET( INDIRECT("'[storico profut.xlsm]Consiglio_Week'!$R:$R"), 0, COLUMNS($A:L)-1 )
  ),
  ""
)</f>
        <v/>
      </c>
      <c r="AX67" s="26" t="str" cm="1">
        <f t="array" aca="1" ref="AX67" ca="1">IFERROR(
  _xlfn.XLOOKUP(
    $B67,
    INDIRECT("'[storico profut.xlsm]Consiglio_Week'!B:B"),
    OFFSET( INDIRECT("'[storico profut.xlsm]Consiglio_Week'!$R:$R"), 0, COLUMNS($A:M)-1 )
  ),
  ""
)</f>
        <v/>
      </c>
      <c r="AY67" s="22">
        <v>0</v>
      </c>
    </row>
    <row r="68" spans="1:51">
      <c r="A68" t="s">
        <v>572</v>
      </c>
      <c r="B68" t="s">
        <v>490</v>
      </c>
      <c r="C68">
        <v>20</v>
      </c>
      <c r="D68">
        <v>2</v>
      </c>
      <c r="E68" s="6">
        <v>0.375</v>
      </c>
      <c r="F68" s="6">
        <v>0.625</v>
      </c>
      <c r="G68" t="s">
        <v>640</v>
      </c>
      <c r="H68" t="s">
        <v>640</v>
      </c>
      <c r="Q68" t="s">
        <v>468</v>
      </c>
      <c r="R68">
        <v>1</v>
      </c>
      <c r="S68" t="s">
        <v>607</v>
      </c>
      <c r="AH68" t="str" cm="1">
        <f t="array" aca="1" ref="AH68" ca="1">+IFERROR(_xlfn.XLOOKUP($B68,INDIRECT("'[storico profut.xlsm]Consiglio_Week'!$B:$B"),INDIRECT("'[storico profut.xlsm]Consiglio_Week'!$I:$I")),"")</f>
        <v/>
      </c>
      <c r="AI68" t="str" cm="1">
        <f t="array" aca="1" ref="AI68" ca="1">+IFERROR(_xlfn.XLOOKUP($B68,INDIRECT("'[storico profut.xlsm]Consiglio_Week'!$B:$B"),INDIRECT("'[storico profut.xlsm]Consiglio_Week'!$L:$L")),"")</f>
        <v/>
      </c>
      <c r="AJ68" t="str" cm="1">
        <f t="array" aca="1" ref="AJ68" ca="1">+IFERROR(_xlfn.XLOOKUP($B68,INDIRECT("'[storico profut.xlsm]Consiglio_Week'!$B:$B"),INDIRECT("'[storico profut.xlsm]Consiglio_Week'!$M:$M")),"")</f>
        <v/>
      </c>
      <c r="AK68" t="str" cm="1">
        <f t="array" aca="1" ref="AK68" ca="1">+IFERROR(_xlfn.XLOOKUP($B68,INDIRECT("'[storico profut.xlsm]Consiglio_Week'!$B:$B"),INDIRECT("'[storico profut.xlsm]Consiglio_Week'!$P:$P")),"")</f>
        <v/>
      </c>
      <c r="AL68" s="21" t="str" cm="1">
        <f t="array" aca="1" ref="AL68" ca="1">IFERROR(
  _xlfn.XLOOKUP(
    $B68,
    INDIRECT("'[storico profut.xlsm]Consiglio_Week'!B:B"),
    OFFSET( INDIRECT("'[storico profut.xlsm]Consiglio_Week'!$R:$R"), 0, COLUMNS($A:A)-1 )
  ),
  ""
)</f>
        <v/>
      </c>
      <c r="AM68" s="21" t="str" cm="1">
        <f t="array" aca="1" ref="AM68" ca="1">IFERROR(
  _xlfn.XLOOKUP(
    $B68,
    INDIRECT("'[storico profut.xlsm]Consiglio_Week'!B:B"),
    OFFSET( INDIRECT("'[storico profut.xlsm]Consiglio_Week'!$R:$R"), 0, COLUMNS($A:B)-1 )
  ),
  ""
)</f>
        <v/>
      </c>
      <c r="AN68" s="21" t="str" cm="1">
        <f t="array" aca="1" ref="AN68" ca="1">IFERROR(
  _xlfn.XLOOKUP(
    $B68,
    INDIRECT("'[storico profut.xlsm]Consiglio_Week'!B:B"),
    OFFSET( INDIRECT("'[storico profut.xlsm]Consiglio_Week'!$R:$R"), 0, COLUMNS($A:C)-1 )
  ),
  ""
)</f>
        <v/>
      </c>
      <c r="AO68" s="21" t="str" cm="1">
        <f t="array" aca="1" ref="AO68" ca="1">IFERROR(
  _xlfn.XLOOKUP(
    $B68,
    INDIRECT("'[storico profut.xlsm]Consiglio_Week'!B:B"),
    OFFSET( INDIRECT("'[storico profut.xlsm]Consiglio_Week'!$R:$R"), 0, COLUMNS($A:D)-1 )
  ),
  ""
)</f>
        <v/>
      </c>
      <c r="AP68" s="21" t="str" cm="1">
        <f t="array" aca="1" ref="AP68" ca="1">IFERROR(
  _xlfn.XLOOKUP(
    $B68,
    INDIRECT("'[storico profut.xlsm]Consiglio_Week'!B:B"),
    OFFSET( INDIRECT("'[storico profut.xlsm]Consiglio_Week'!$R:$R"), 0, COLUMNS($A:E)-1 )
  ),
  ""
)</f>
        <v/>
      </c>
      <c r="AQ68" s="22" t="str" cm="1">
        <f t="array" aca="1" ref="AQ68" ca="1">IFERROR(
  _xlfn.XLOOKUP(
    $B68,
    INDIRECT("'[storico profut.xlsm]Consiglio_Week'!B:B"),
    OFFSET( INDIRECT("'[storico profut.xlsm]Consiglio_Week'!$R:$R"), 0, COLUMNS($A:F)-1 )
  ),
  ""
)</f>
        <v/>
      </c>
      <c r="AR68" s="21" t="str" cm="1">
        <f t="array" aca="1" ref="AR68" ca="1">IFERROR(
  _xlfn.XLOOKUP(
    $B68,
    INDIRECT("'[storico profut.xlsm]Consiglio_Week'!B:B"),
    OFFSET( INDIRECT("'[storico profut.xlsm]Consiglio_Week'!$R:$R"), 0, COLUMNS($A:G)-1 )
  ),
  ""
)</f>
        <v/>
      </c>
      <c r="AS68" s="21" t="str" cm="1">
        <f t="array" aca="1" ref="AS68" ca="1">IFERROR(
  _xlfn.XLOOKUP(
    $B68,
    INDIRECT("'[storico profut.xlsm]Consiglio_Week'!B:B"),
    OFFSET( INDIRECT("'[storico profut.xlsm]Consiglio_Week'!$R:$R"), 0, COLUMNS($A:H)-1 )
  ),
  ""
)</f>
        <v/>
      </c>
      <c r="AT68" s="21" t="str" cm="1">
        <f t="array" aca="1" ref="AT68" ca="1">IFERROR(
  _xlfn.XLOOKUP(
    $B68,
    INDIRECT("'[storico profut.xlsm]Consiglio_Week'!B:B"),
    OFFSET( INDIRECT("'[storico profut.xlsm]Consiglio_Week'!$R:$R"), 0, COLUMNS($A:I)-1 )
  ),
  ""
)</f>
        <v/>
      </c>
      <c r="AU68" s="22" t="str" cm="1">
        <f t="array" aca="1" ref="AU68" ca="1">IFERROR(
  _xlfn.XLOOKUP(
    $B68,
    INDIRECT("'[storico profut.xlsm]Consiglio_Week'!B:B"),
    OFFSET( INDIRECT("'[storico profut.xlsm]Consiglio_Week'!$R:$R"), 0, COLUMNS($A:J)-1 )
  ),
  ""
)</f>
        <v/>
      </c>
      <c r="AV68" s="22" t="str" cm="1">
        <f t="array" aca="1" ref="AV68" ca="1">IFERROR(
  _xlfn.XLOOKUP(
    $B68,
    INDIRECT("'[storico profut.xlsm]Consiglio_Week'!B:B"),
    OFFSET( INDIRECT("'[storico profut.xlsm]Consiglio_Week'!$R:$R"), 0, COLUMNS($A:K)-1 )
  ),
  ""
)</f>
        <v/>
      </c>
      <c r="AW68" s="22" t="str" cm="1">
        <f t="array" aca="1" ref="AW68" ca="1">IFERROR(
  _xlfn.XLOOKUP(
    $B68,
    INDIRECT("'[storico profut.xlsm]Consiglio_Week'!B:B"),
    OFFSET( INDIRECT("'[storico profut.xlsm]Consiglio_Week'!$R:$R"), 0, COLUMNS($A:L)-1 )
  ),
  ""
)</f>
        <v/>
      </c>
      <c r="AX68" s="26" t="str" cm="1">
        <f t="array" aca="1" ref="AX68" ca="1">IFERROR(
  _xlfn.XLOOKUP(
    $B68,
    INDIRECT("'[storico profut.xlsm]Consiglio_Week'!B:B"),
    OFFSET( INDIRECT("'[storico profut.xlsm]Consiglio_Week'!$R:$R"), 0, COLUMNS($A:M)-1 )
  ),
  ""
)</f>
        <v/>
      </c>
      <c r="AY68" s="22">
        <v>0</v>
      </c>
    </row>
    <row r="69" spans="1:51">
      <c r="A69" t="s">
        <v>594</v>
      </c>
      <c r="B69" t="s">
        <v>491</v>
      </c>
      <c r="C69">
        <v>20</v>
      </c>
      <c r="D69">
        <v>2</v>
      </c>
      <c r="E69" s="6">
        <v>0.625</v>
      </c>
      <c r="F69" s="6">
        <v>0.875</v>
      </c>
      <c r="G69" t="s">
        <v>640</v>
      </c>
      <c r="H69" t="s">
        <v>640</v>
      </c>
      <c r="Q69" t="s">
        <v>468</v>
      </c>
      <c r="R69">
        <v>1</v>
      </c>
      <c r="S69" t="s">
        <v>607</v>
      </c>
      <c r="AH69" t="str" cm="1">
        <f t="array" aca="1" ref="AH69" ca="1">+IFERROR(_xlfn.XLOOKUP($B69,INDIRECT("'[storico profut.xlsm]Consiglio_Week'!$B:$B"),INDIRECT("'[storico profut.xlsm]Consiglio_Week'!$I:$I")),"")</f>
        <v/>
      </c>
      <c r="AI69" t="str" cm="1">
        <f t="array" aca="1" ref="AI69" ca="1">+IFERROR(_xlfn.XLOOKUP($B69,INDIRECT("'[storico profut.xlsm]Consiglio_Week'!$B:$B"),INDIRECT("'[storico profut.xlsm]Consiglio_Week'!$L:$L")),"")</f>
        <v/>
      </c>
      <c r="AJ69" t="str" cm="1">
        <f t="array" aca="1" ref="AJ69" ca="1">+IFERROR(_xlfn.XLOOKUP($B69,INDIRECT("'[storico profut.xlsm]Consiglio_Week'!$B:$B"),INDIRECT("'[storico profut.xlsm]Consiglio_Week'!$M:$M")),"")</f>
        <v/>
      </c>
      <c r="AK69" t="str" cm="1">
        <f t="array" aca="1" ref="AK69" ca="1">+IFERROR(_xlfn.XLOOKUP($B69,INDIRECT("'[storico profut.xlsm]Consiglio_Week'!$B:$B"),INDIRECT("'[storico profut.xlsm]Consiglio_Week'!$P:$P")),"")</f>
        <v/>
      </c>
      <c r="AL69" s="21" t="str" cm="1">
        <f t="array" aca="1" ref="AL69" ca="1">IFERROR(
  _xlfn.XLOOKUP(
    $B69,
    INDIRECT("'[storico profut.xlsm]Consiglio_Week'!B:B"),
    OFFSET( INDIRECT("'[storico profut.xlsm]Consiglio_Week'!$R:$R"), 0, COLUMNS($A:A)-1 )
  ),
  ""
)</f>
        <v/>
      </c>
      <c r="AM69" s="21" t="str" cm="1">
        <f t="array" aca="1" ref="AM69" ca="1">IFERROR(
  _xlfn.XLOOKUP(
    $B69,
    INDIRECT("'[storico profut.xlsm]Consiglio_Week'!B:B"),
    OFFSET( INDIRECT("'[storico profut.xlsm]Consiglio_Week'!$R:$R"), 0, COLUMNS($A:B)-1 )
  ),
  ""
)</f>
        <v/>
      </c>
      <c r="AN69" s="21" t="str" cm="1">
        <f t="array" aca="1" ref="AN69" ca="1">IFERROR(
  _xlfn.XLOOKUP(
    $B69,
    INDIRECT("'[storico profut.xlsm]Consiglio_Week'!B:B"),
    OFFSET( INDIRECT("'[storico profut.xlsm]Consiglio_Week'!$R:$R"), 0, COLUMNS($A:C)-1 )
  ),
  ""
)</f>
        <v/>
      </c>
      <c r="AO69" s="21" t="str" cm="1">
        <f t="array" aca="1" ref="AO69" ca="1">IFERROR(
  _xlfn.XLOOKUP(
    $B69,
    INDIRECT("'[storico profut.xlsm]Consiglio_Week'!B:B"),
    OFFSET( INDIRECT("'[storico profut.xlsm]Consiglio_Week'!$R:$R"), 0, COLUMNS($A:D)-1 )
  ),
  ""
)</f>
        <v/>
      </c>
      <c r="AP69" s="21" t="str" cm="1">
        <f t="array" aca="1" ref="AP69" ca="1">IFERROR(
  _xlfn.XLOOKUP(
    $B69,
    INDIRECT("'[storico profut.xlsm]Consiglio_Week'!B:B"),
    OFFSET( INDIRECT("'[storico profut.xlsm]Consiglio_Week'!$R:$R"), 0, COLUMNS($A:E)-1 )
  ),
  ""
)</f>
        <v/>
      </c>
      <c r="AQ69" s="22" t="str" cm="1">
        <f t="array" aca="1" ref="AQ69" ca="1">IFERROR(
  _xlfn.XLOOKUP(
    $B69,
    INDIRECT("'[storico profut.xlsm]Consiglio_Week'!B:B"),
    OFFSET( INDIRECT("'[storico profut.xlsm]Consiglio_Week'!$R:$R"), 0, COLUMNS($A:F)-1 )
  ),
  ""
)</f>
        <v/>
      </c>
      <c r="AR69" s="21" t="str" cm="1">
        <f t="array" aca="1" ref="AR69" ca="1">IFERROR(
  _xlfn.XLOOKUP(
    $B69,
    INDIRECT("'[storico profut.xlsm]Consiglio_Week'!B:B"),
    OFFSET( INDIRECT("'[storico profut.xlsm]Consiglio_Week'!$R:$R"), 0, COLUMNS($A:G)-1 )
  ),
  ""
)</f>
        <v/>
      </c>
      <c r="AS69" s="21" t="str" cm="1">
        <f t="array" aca="1" ref="AS69" ca="1">IFERROR(
  _xlfn.XLOOKUP(
    $B69,
    INDIRECT("'[storico profut.xlsm]Consiglio_Week'!B:B"),
    OFFSET( INDIRECT("'[storico profut.xlsm]Consiglio_Week'!$R:$R"), 0, COLUMNS($A:H)-1 )
  ),
  ""
)</f>
        <v/>
      </c>
      <c r="AT69" s="21" t="str" cm="1">
        <f t="array" aca="1" ref="AT69" ca="1">IFERROR(
  _xlfn.XLOOKUP(
    $B69,
    INDIRECT("'[storico profut.xlsm]Consiglio_Week'!B:B"),
    OFFSET( INDIRECT("'[storico profut.xlsm]Consiglio_Week'!$R:$R"), 0, COLUMNS($A:I)-1 )
  ),
  ""
)</f>
        <v/>
      </c>
      <c r="AU69" s="22" t="str" cm="1">
        <f t="array" aca="1" ref="AU69" ca="1">IFERROR(
  _xlfn.XLOOKUP(
    $B69,
    INDIRECT("'[storico profut.xlsm]Consiglio_Week'!B:B"),
    OFFSET( INDIRECT("'[storico profut.xlsm]Consiglio_Week'!$R:$R"), 0, COLUMNS($A:J)-1 )
  ),
  ""
)</f>
        <v/>
      </c>
      <c r="AV69" s="22" t="str" cm="1">
        <f t="array" aca="1" ref="AV69" ca="1">IFERROR(
  _xlfn.XLOOKUP(
    $B69,
    INDIRECT("'[storico profut.xlsm]Consiglio_Week'!B:B"),
    OFFSET( INDIRECT("'[storico profut.xlsm]Consiglio_Week'!$R:$R"), 0, COLUMNS($A:K)-1 )
  ),
  ""
)</f>
        <v/>
      </c>
      <c r="AW69" s="22" t="str" cm="1">
        <f t="array" aca="1" ref="AW69" ca="1">IFERROR(
  _xlfn.XLOOKUP(
    $B69,
    INDIRECT("'[storico profut.xlsm]Consiglio_Week'!B:B"),
    OFFSET( INDIRECT("'[storico profut.xlsm]Consiglio_Week'!$R:$R"), 0, COLUMNS($A:L)-1 )
  ),
  ""
)</f>
        <v/>
      </c>
      <c r="AX69" s="26" t="str" cm="1">
        <f t="array" aca="1" ref="AX69" ca="1">IFERROR(
  _xlfn.XLOOKUP(
    $B69,
    INDIRECT("'[storico profut.xlsm]Consiglio_Week'!B:B"),
    OFFSET( INDIRECT("'[storico profut.xlsm]Consiglio_Week'!$R:$R"), 0, COLUMNS($A:M)-1 )
  ),
  ""
)</f>
        <v/>
      </c>
      <c r="AY69" s="22">
        <v>0</v>
      </c>
    </row>
    <row r="70" spans="1:51">
      <c r="A70" t="s">
        <v>595</v>
      </c>
      <c r="B70" t="s">
        <v>496</v>
      </c>
      <c r="C70">
        <v>20</v>
      </c>
      <c r="D70">
        <v>2</v>
      </c>
      <c r="E70" s="6">
        <v>0.375</v>
      </c>
      <c r="F70" s="6">
        <v>0.625</v>
      </c>
      <c r="G70" t="s">
        <v>640</v>
      </c>
      <c r="H70" t="s">
        <v>640</v>
      </c>
      <c r="Q70" t="s">
        <v>468</v>
      </c>
      <c r="R70">
        <v>1</v>
      </c>
      <c r="S70" t="s">
        <v>607</v>
      </c>
      <c r="AH70" t="str" cm="1">
        <f t="array" aca="1" ref="AH70" ca="1">+IFERROR(_xlfn.XLOOKUP($B70,INDIRECT("'[storico profut.xlsm]Consiglio_Week'!$B:$B"),INDIRECT("'[storico profut.xlsm]Consiglio_Week'!$I:$I")),"")</f>
        <v/>
      </c>
      <c r="AI70" t="str" cm="1">
        <f t="array" aca="1" ref="AI70" ca="1">+IFERROR(_xlfn.XLOOKUP($B70,INDIRECT("'[storico profut.xlsm]Consiglio_Week'!$B:$B"),INDIRECT("'[storico profut.xlsm]Consiglio_Week'!$L:$L")),"")</f>
        <v/>
      </c>
      <c r="AJ70" t="str" cm="1">
        <f t="array" aca="1" ref="AJ70" ca="1">+IFERROR(_xlfn.XLOOKUP($B70,INDIRECT("'[storico profut.xlsm]Consiglio_Week'!$B:$B"),INDIRECT("'[storico profut.xlsm]Consiglio_Week'!$M:$M")),"")</f>
        <v/>
      </c>
      <c r="AK70" t="str" cm="1">
        <f t="array" aca="1" ref="AK70" ca="1">+IFERROR(_xlfn.XLOOKUP($B70,INDIRECT("'[storico profut.xlsm]Consiglio_Week'!$B:$B"),INDIRECT("'[storico profut.xlsm]Consiglio_Week'!$P:$P")),"")</f>
        <v/>
      </c>
      <c r="AL70" s="21" t="str" cm="1">
        <f t="array" aca="1" ref="AL70" ca="1">IFERROR(
  _xlfn.XLOOKUP(
    $B70,
    INDIRECT("'[storico profut.xlsm]Consiglio_Week'!B:B"),
    OFFSET( INDIRECT("'[storico profut.xlsm]Consiglio_Week'!$R:$R"), 0, COLUMNS($A:A)-1 )
  ),
  ""
)</f>
        <v/>
      </c>
      <c r="AM70" s="21" t="str" cm="1">
        <f t="array" aca="1" ref="AM70" ca="1">IFERROR(
  _xlfn.XLOOKUP(
    $B70,
    INDIRECT("'[storico profut.xlsm]Consiglio_Week'!B:B"),
    OFFSET( INDIRECT("'[storico profut.xlsm]Consiglio_Week'!$R:$R"), 0, COLUMNS($A:B)-1 )
  ),
  ""
)</f>
        <v/>
      </c>
      <c r="AN70" s="21" t="str" cm="1">
        <f t="array" aca="1" ref="AN70" ca="1">IFERROR(
  _xlfn.XLOOKUP(
    $B70,
    INDIRECT("'[storico profut.xlsm]Consiglio_Week'!B:B"),
    OFFSET( INDIRECT("'[storico profut.xlsm]Consiglio_Week'!$R:$R"), 0, COLUMNS($A:C)-1 )
  ),
  ""
)</f>
        <v/>
      </c>
      <c r="AO70" s="21" t="str" cm="1">
        <f t="array" aca="1" ref="AO70" ca="1">IFERROR(
  _xlfn.XLOOKUP(
    $B70,
    INDIRECT("'[storico profut.xlsm]Consiglio_Week'!B:B"),
    OFFSET( INDIRECT("'[storico profut.xlsm]Consiglio_Week'!$R:$R"), 0, COLUMNS($A:D)-1 )
  ),
  ""
)</f>
        <v/>
      </c>
      <c r="AP70" s="21" t="str" cm="1">
        <f t="array" aca="1" ref="AP70" ca="1">IFERROR(
  _xlfn.XLOOKUP(
    $B70,
    INDIRECT("'[storico profut.xlsm]Consiglio_Week'!B:B"),
    OFFSET( INDIRECT("'[storico profut.xlsm]Consiglio_Week'!$R:$R"), 0, COLUMNS($A:E)-1 )
  ),
  ""
)</f>
        <v/>
      </c>
      <c r="AQ70" s="22" t="str" cm="1">
        <f t="array" aca="1" ref="AQ70" ca="1">IFERROR(
  _xlfn.XLOOKUP(
    $B70,
    INDIRECT("'[storico profut.xlsm]Consiglio_Week'!B:B"),
    OFFSET( INDIRECT("'[storico profut.xlsm]Consiglio_Week'!$R:$R"), 0, COLUMNS($A:F)-1 )
  ),
  ""
)</f>
        <v/>
      </c>
      <c r="AR70" s="21" t="str" cm="1">
        <f t="array" aca="1" ref="AR70" ca="1">IFERROR(
  _xlfn.XLOOKUP(
    $B70,
    INDIRECT("'[storico profut.xlsm]Consiglio_Week'!B:B"),
    OFFSET( INDIRECT("'[storico profut.xlsm]Consiglio_Week'!$R:$R"), 0, COLUMNS($A:G)-1 )
  ),
  ""
)</f>
        <v/>
      </c>
      <c r="AS70" s="21" t="str" cm="1">
        <f t="array" aca="1" ref="AS70" ca="1">IFERROR(
  _xlfn.XLOOKUP(
    $B70,
    INDIRECT("'[storico profut.xlsm]Consiglio_Week'!B:B"),
    OFFSET( INDIRECT("'[storico profut.xlsm]Consiglio_Week'!$R:$R"), 0, COLUMNS($A:H)-1 )
  ),
  ""
)</f>
        <v/>
      </c>
      <c r="AT70" s="21" t="str" cm="1">
        <f t="array" aca="1" ref="AT70" ca="1">IFERROR(
  _xlfn.XLOOKUP(
    $B70,
    INDIRECT("'[storico profut.xlsm]Consiglio_Week'!B:B"),
    OFFSET( INDIRECT("'[storico profut.xlsm]Consiglio_Week'!$R:$R"), 0, COLUMNS($A:I)-1 )
  ),
  ""
)</f>
        <v/>
      </c>
      <c r="AU70" s="22" t="str" cm="1">
        <f t="array" aca="1" ref="AU70" ca="1">IFERROR(
  _xlfn.XLOOKUP(
    $B70,
    INDIRECT("'[storico profut.xlsm]Consiglio_Week'!B:B"),
    OFFSET( INDIRECT("'[storico profut.xlsm]Consiglio_Week'!$R:$R"), 0, COLUMNS($A:J)-1 )
  ),
  ""
)</f>
        <v/>
      </c>
      <c r="AV70" s="22" t="str" cm="1">
        <f t="array" aca="1" ref="AV70" ca="1">IFERROR(
  _xlfn.XLOOKUP(
    $B70,
    INDIRECT("'[storico profut.xlsm]Consiglio_Week'!B:B"),
    OFFSET( INDIRECT("'[storico profut.xlsm]Consiglio_Week'!$R:$R"), 0, COLUMNS($A:K)-1 )
  ),
  ""
)</f>
        <v/>
      </c>
      <c r="AW70" s="22" t="str" cm="1">
        <f t="array" aca="1" ref="AW70" ca="1">IFERROR(
  _xlfn.XLOOKUP(
    $B70,
    INDIRECT("'[storico profut.xlsm]Consiglio_Week'!B:B"),
    OFFSET( INDIRECT("'[storico profut.xlsm]Consiglio_Week'!$R:$R"), 0, COLUMNS($A:L)-1 )
  ),
  ""
)</f>
        <v/>
      </c>
      <c r="AX70" s="26" t="str" cm="1">
        <f t="array" aca="1" ref="AX70" ca="1">IFERROR(
  _xlfn.XLOOKUP(
    $B70,
    INDIRECT("'[storico profut.xlsm]Consiglio_Week'!B:B"),
    OFFSET( INDIRECT("'[storico profut.xlsm]Consiglio_Week'!$R:$R"), 0, COLUMNS($A:M)-1 )
  ),
  ""
)</f>
        <v/>
      </c>
      <c r="AY70" s="22">
        <v>0</v>
      </c>
    </row>
    <row r="71" spans="1:51">
      <c r="A71" t="s">
        <v>596</v>
      </c>
      <c r="B71" t="s">
        <v>497</v>
      </c>
      <c r="C71">
        <v>20</v>
      </c>
      <c r="D71">
        <v>2</v>
      </c>
      <c r="E71" s="6">
        <v>0.375</v>
      </c>
      <c r="F71" s="6">
        <v>0.625</v>
      </c>
      <c r="G71" t="s">
        <v>640</v>
      </c>
      <c r="H71" t="s">
        <v>640</v>
      </c>
      <c r="Q71" t="s">
        <v>468</v>
      </c>
      <c r="R71">
        <v>1</v>
      </c>
      <c r="S71" t="s">
        <v>607</v>
      </c>
      <c r="AH71" t="str" cm="1">
        <f t="array" aca="1" ref="AH71" ca="1">+IFERROR(_xlfn.XLOOKUP($B71,INDIRECT("'[storico profut.xlsm]Consiglio_Week'!$B:$B"),INDIRECT("'[storico profut.xlsm]Consiglio_Week'!$I:$I")),"")</f>
        <v/>
      </c>
      <c r="AI71" t="str" cm="1">
        <f t="array" aca="1" ref="AI71" ca="1">+IFERROR(_xlfn.XLOOKUP($B71,INDIRECT("'[storico profut.xlsm]Consiglio_Week'!$B:$B"),INDIRECT("'[storico profut.xlsm]Consiglio_Week'!$L:$L")),"")</f>
        <v/>
      </c>
      <c r="AJ71" t="str" cm="1">
        <f t="array" aca="1" ref="AJ71" ca="1">+IFERROR(_xlfn.XLOOKUP($B71,INDIRECT("'[storico profut.xlsm]Consiglio_Week'!$B:$B"),INDIRECT("'[storico profut.xlsm]Consiglio_Week'!$M:$M")),"")</f>
        <v/>
      </c>
      <c r="AK71" t="str" cm="1">
        <f t="array" aca="1" ref="AK71" ca="1">+IFERROR(_xlfn.XLOOKUP($B71,INDIRECT("'[storico profut.xlsm]Consiglio_Week'!$B:$B"),INDIRECT("'[storico profut.xlsm]Consiglio_Week'!$P:$P")),"")</f>
        <v/>
      </c>
      <c r="AL71" s="21" t="str" cm="1">
        <f t="array" aca="1" ref="AL71" ca="1">IFERROR(
  _xlfn.XLOOKUP(
    $B71,
    INDIRECT("'[storico profut.xlsm]Consiglio_Week'!B:B"),
    OFFSET( INDIRECT("'[storico profut.xlsm]Consiglio_Week'!$R:$R"), 0, COLUMNS($A:A)-1 )
  ),
  ""
)</f>
        <v/>
      </c>
      <c r="AM71" s="21" t="str" cm="1">
        <f t="array" aca="1" ref="AM71" ca="1">IFERROR(
  _xlfn.XLOOKUP(
    $B71,
    INDIRECT("'[storico profut.xlsm]Consiglio_Week'!B:B"),
    OFFSET( INDIRECT("'[storico profut.xlsm]Consiglio_Week'!$R:$R"), 0, COLUMNS($A:B)-1 )
  ),
  ""
)</f>
        <v/>
      </c>
      <c r="AN71" s="21" t="str" cm="1">
        <f t="array" aca="1" ref="AN71" ca="1">IFERROR(
  _xlfn.XLOOKUP(
    $B71,
    INDIRECT("'[storico profut.xlsm]Consiglio_Week'!B:B"),
    OFFSET( INDIRECT("'[storico profut.xlsm]Consiglio_Week'!$R:$R"), 0, COLUMNS($A:C)-1 )
  ),
  ""
)</f>
        <v/>
      </c>
      <c r="AO71" s="21" t="str" cm="1">
        <f t="array" aca="1" ref="AO71" ca="1">IFERROR(
  _xlfn.XLOOKUP(
    $B71,
    INDIRECT("'[storico profut.xlsm]Consiglio_Week'!B:B"),
    OFFSET( INDIRECT("'[storico profut.xlsm]Consiglio_Week'!$R:$R"), 0, COLUMNS($A:D)-1 )
  ),
  ""
)</f>
        <v/>
      </c>
      <c r="AP71" s="21" t="str" cm="1">
        <f t="array" aca="1" ref="AP71" ca="1">IFERROR(
  _xlfn.XLOOKUP(
    $B71,
    INDIRECT("'[storico profut.xlsm]Consiglio_Week'!B:B"),
    OFFSET( INDIRECT("'[storico profut.xlsm]Consiglio_Week'!$R:$R"), 0, COLUMNS($A:E)-1 )
  ),
  ""
)</f>
        <v/>
      </c>
      <c r="AQ71" s="22" t="str" cm="1">
        <f t="array" aca="1" ref="AQ71" ca="1">IFERROR(
  _xlfn.XLOOKUP(
    $B71,
    INDIRECT("'[storico profut.xlsm]Consiglio_Week'!B:B"),
    OFFSET( INDIRECT("'[storico profut.xlsm]Consiglio_Week'!$R:$R"), 0, COLUMNS($A:F)-1 )
  ),
  ""
)</f>
        <v/>
      </c>
      <c r="AR71" s="21" t="str" cm="1">
        <f t="array" aca="1" ref="AR71" ca="1">IFERROR(
  _xlfn.XLOOKUP(
    $B71,
    INDIRECT("'[storico profut.xlsm]Consiglio_Week'!B:B"),
    OFFSET( INDIRECT("'[storico profut.xlsm]Consiglio_Week'!$R:$R"), 0, COLUMNS($A:G)-1 )
  ),
  ""
)</f>
        <v/>
      </c>
      <c r="AS71" s="21" t="str" cm="1">
        <f t="array" aca="1" ref="AS71" ca="1">IFERROR(
  _xlfn.XLOOKUP(
    $B71,
    INDIRECT("'[storico profut.xlsm]Consiglio_Week'!B:B"),
    OFFSET( INDIRECT("'[storico profut.xlsm]Consiglio_Week'!$R:$R"), 0, COLUMNS($A:H)-1 )
  ),
  ""
)</f>
        <v/>
      </c>
      <c r="AT71" s="21" t="str" cm="1">
        <f t="array" aca="1" ref="AT71" ca="1">IFERROR(
  _xlfn.XLOOKUP(
    $B71,
    INDIRECT("'[storico profut.xlsm]Consiglio_Week'!B:B"),
    OFFSET( INDIRECT("'[storico profut.xlsm]Consiglio_Week'!$R:$R"), 0, COLUMNS($A:I)-1 )
  ),
  ""
)</f>
        <v/>
      </c>
      <c r="AU71" s="22" t="str" cm="1">
        <f t="array" aca="1" ref="AU71" ca="1">IFERROR(
  _xlfn.XLOOKUP(
    $B71,
    INDIRECT("'[storico profut.xlsm]Consiglio_Week'!B:B"),
    OFFSET( INDIRECT("'[storico profut.xlsm]Consiglio_Week'!$R:$R"), 0, COLUMNS($A:J)-1 )
  ),
  ""
)</f>
        <v/>
      </c>
      <c r="AV71" s="22" t="str" cm="1">
        <f t="array" aca="1" ref="AV71" ca="1">IFERROR(
  _xlfn.XLOOKUP(
    $B71,
    INDIRECT("'[storico profut.xlsm]Consiglio_Week'!B:B"),
    OFFSET( INDIRECT("'[storico profut.xlsm]Consiglio_Week'!$R:$R"), 0, COLUMNS($A:K)-1 )
  ),
  ""
)</f>
        <v/>
      </c>
      <c r="AW71" s="22" t="str" cm="1">
        <f t="array" aca="1" ref="AW71" ca="1">IFERROR(
  _xlfn.XLOOKUP(
    $B71,
    INDIRECT("'[storico profut.xlsm]Consiglio_Week'!B:B"),
    OFFSET( INDIRECT("'[storico profut.xlsm]Consiglio_Week'!$R:$R"), 0, COLUMNS($A:L)-1 )
  ),
  ""
)</f>
        <v/>
      </c>
      <c r="AX71" s="26" t="str" cm="1">
        <f t="array" aca="1" ref="AX71" ca="1">IFERROR(
  _xlfn.XLOOKUP(
    $B71,
    INDIRECT("'[storico profut.xlsm]Consiglio_Week'!B:B"),
    OFFSET( INDIRECT("'[storico profut.xlsm]Consiglio_Week'!$R:$R"), 0, COLUMNS($A:M)-1 )
  ),
  ""
)</f>
        <v/>
      </c>
      <c r="AY71" s="22">
        <v>0</v>
      </c>
    </row>
    <row r="72" spans="1:51">
      <c r="A72" t="s">
        <v>597</v>
      </c>
      <c r="B72" t="s">
        <v>498</v>
      </c>
      <c r="C72">
        <v>20</v>
      </c>
      <c r="D72">
        <v>2</v>
      </c>
      <c r="E72" s="6">
        <v>0.625</v>
      </c>
      <c r="F72" s="6">
        <v>0.875</v>
      </c>
      <c r="G72" t="s">
        <v>640</v>
      </c>
      <c r="H72" t="s">
        <v>640</v>
      </c>
      <c r="Q72" t="s">
        <v>468</v>
      </c>
      <c r="R72">
        <v>1</v>
      </c>
      <c r="S72" t="s">
        <v>607</v>
      </c>
      <c r="AH72" t="str" cm="1">
        <f t="array" aca="1" ref="AH72" ca="1">+IFERROR(_xlfn.XLOOKUP($B72,INDIRECT("'[storico profut.xlsm]Consiglio_Week'!$B:$B"),INDIRECT("'[storico profut.xlsm]Consiglio_Week'!$I:$I")),"")</f>
        <v/>
      </c>
      <c r="AI72" t="str" cm="1">
        <f t="array" aca="1" ref="AI72" ca="1">+IFERROR(_xlfn.XLOOKUP($B72,INDIRECT("'[storico profut.xlsm]Consiglio_Week'!$B:$B"),INDIRECT("'[storico profut.xlsm]Consiglio_Week'!$L:$L")),"")</f>
        <v/>
      </c>
      <c r="AJ72" t="str" cm="1">
        <f t="array" aca="1" ref="AJ72" ca="1">+IFERROR(_xlfn.XLOOKUP($B72,INDIRECT("'[storico profut.xlsm]Consiglio_Week'!$B:$B"),INDIRECT("'[storico profut.xlsm]Consiglio_Week'!$M:$M")),"")</f>
        <v/>
      </c>
      <c r="AK72" t="str" cm="1">
        <f t="array" aca="1" ref="AK72" ca="1">+IFERROR(_xlfn.XLOOKUP($B72,INDIRECT("'[storico profut.xlsm]Consiglio_Week'!$B:$B"),INDIRECT("'[storico profut.xlsm]Consiglio_Week'!$P:$P")),"")</f>
        <v/>
      </c>
      <c r="AL72" s="21" t="str" cm="1">
        <f t="array" aca="1" ref="AL72" ca="1">IFERROR(
  _xlfn.XLOOKUP(
    $B72,
    INDIRECT("'[storico profut.xlsm]Consiglio_Week'!B:B"),
    OFFSET( INDIRECT("'[storico profut.xlsm]Consiglio_Week'!$R:$R"), 0, COLUMNS($A:A)-1 )
  ),
  ""
)</f>
        <v/>
      </c>
      <c r="AM72" s="21" t="str" cm="1">
        <f t="array" aca="1" ref="AM72" ca="1">IFERROR(
  _xlfn.XLOOKUP(
    $B72,
    INDIRECT("'[storico profut.xlsm]Consiglio_Week'!B:B"),
    OFFSET( INDIRECT("'[storico profut.xlsm]Consiglio_Week'!$R:$R"), 0, COLUMNS($A:B)-1 )
  ),
  ""
)</f>
        <v/>
      </c>
      <c r="AN72" s="21" t="str" cm="1">
        <f t="array" aca="1" ref="AN72" ca="1">IFERROR(
  _xlfn.XLOOKUP(
    $B72,
    INDIRECT("'[storico profut.xlsm]Consiglio_Week'!B:B"),
    OFFSET( INDIRECT("'[storico profut.xlsm]Consiglio_Week'!$R:$R"), 0, COLUMNS($A:C)-1 )
  ),
  ""
)</f>
        <v/>
      </c>
      <c r="AO72" s="21" t="str" cm="1">
        <f t="array" aca="1" ref="AO72" ca="1">IFERROR(
  _xlfn.XLOOKUP(
    $B72,
    INDIRECT("'[storico profut.xlsm]Consiglio_Week'!B:B"),
    OFFSET( INDIRECT("'[storico profut.xlsm]Consiglio_Week'!$R:$R"), 0, COLUMNS($A:D)-1 )
  ),
  ""
)</f>
        <v/>
      </c>
      <c r="AP72" s="21" t="str" cm="1">
        <f t="array" aca="1" ref="AP72" ca="1">IFERROR(
  _xlfn.XLOOKUP(
    $B72,
    INDIRECT("'[storico profut.xlsm]Consiglio_Week'!B:B"),
    OFFSET( INDIRECT("'[storico profut.xlsm]Consiglio_Week'!$R:$R"), 0, COLUMNS($A:E)-1 )
  ),
  ""
)</f>
        <v/>
      </c>
      <c r="AQ72" s="22" t="str" cm="1">
        <f t="array" aca="1" ref="AQ72" ca="1">IFERROR(
  _xlfn.XLOOKUP(
    $B72,
    INDIRECT("'[storico profut.xlsm]Consiglio_Week'!B:B"),
    OFFSET( INDIRECT("'[storico profut.xlsm]Consiglio_Week'!$R:$R"), 0, COLUMNS($A:F)-1 )
  ),
  ""
)</f>
        <v/>
      </c>
      <c r="AR72" s="21" t="str" cm="1">
        <f t="array" aca="1" ref="AR72" ca="1">IFERROR(
  _xlfn.XLOOKUP(
    $B72,
    INDIRECT("'[storico profut.xlsm]Consiglio_Week'!B:B"),
    OFFSET( INDIRECT("'[storico profut.xlsm]Consiglio_Week'!$R:$R"), 0, COLUMNS($A:G)-1 )
  ),
  ""
)</f>
        <v/>
      </c>
      <c r="AS72" s="21" t="str" cm="1">
        <f t="array" aca="1" ref="AS72" ca="1">IFERROR(
  _xlfn.XLOOKUP(
    $B72,
    INDIRECT("'[storico profut.xlsm]Consiglio_Week'!B:B"),
    OFFSET( INDIRECT("'[storico profut.xlsm]Consiglio_Week'!$R:$R"), 0, COLUMNS($A:H)-1 )
  ),
  ""
)</f>
        <v/>
      </c>
      <c r="AT72" s="21" t="str" cm="1">
        <f t="array" aca="1" ref="AT72" ca="1">IFERROR(
  _xlfn.XLOOKUP(
    $B72,
    INDIRECT("'[storico profut.xlsm]Consiglio_Week'!B:B"),
    OFFSET( INDIRECT("'[storico profut.xlsm]Consiglio_Week'!$R:$R"), 0, COLUMNS($A:I)-1 )
  ),
  ""
)</f>
        <v/>
      </c>
      <c r="AU72" s="22" t="str" cm="1">
        <f t="array" aca="1" ref="AU72" ca="1">IFERROR(
  _xlfn.XLOOKUP(
    $B72,
    INDIRECT("'[storico profut.xlsm]Consiglio_Week'!B:B"),
    OFFSET( INDIRECT("'[storico profut.xlsm]Consiglio_Week'!$R:$R"), 0, COLUMNS($A:J)-1 )
  ),
  ""
)</f>
        <v/>
      </c>
      <c r="AV72" s="22" t="str" cm="1">
        <f t="array" aca="1" ref="AV72" ca="1">IFERROR(
  _xlfn.XLOOKUP(
    $B72,
    INDIRECT("'[storico profut.xlsm]Consiglio_Week'!B:B"),
    OFFSET( INDIRECT("'[storico profut.xlsm]Consiglio_Week'!$R:$R"), 0, COLUMNS($A:K)-1 )
  ),
  ""
)</f>
        <v/>
      </c>
      <c r="AW72" s="22" t="str" cm="1">
        <f t="array" aca="1" ref="AW72" ca="1">IFERROR(
  _xlfn.XLOOKUP(
    $B72,
    INDIRECT("'[storico profut.xlsm]Consiglio_Week'!B:B"),
    OFFSET( INDIRECT("'[storico profut.xlsm]Consiglio_Week'!$R:$R"), 0, COLUMNS($A:L)-1 )
  ),
  ""
)</f>
        <v/>
      </c>
      <c r="AX72" s="26" t="str" cm="1">
        <f t="array" aca="1" ref="AX72" ca="1">IFERROR(
  _xlfn.XLOOKUP(
    $B72,
    INDIRECT("'[storico profut.xlsm]Consiglio_Week'!B:B"),
    OFFSET( INDIRECT("'[storico profut.xlsm]Consiglio_Week'!$R:$R"), 0, COLUMNS($A:M)-1 )
  ),
  ""
)</f>
        <v/>
      </c>
      <c r="AY72" s="22" t="s">
        <v>639</v>
      </c>
    </row>
    <row r="73" spans="1:51">
      <c r="A73" t="s">
        <v>598</v>
      </c>
      <c r="B73" t="s">
        <v>500</v>
      </c>
      <c r="C73">
        <v>20</v>
      </c>
      <c r="D73">
        <v>2</v>
      </c>
      <c r="E73" s="6">
        <v>0.375</v>
      </c>
      <c r="F73" s="6">
        <v>0.625</v>
      </c>
      <c r="G73" t="s">
        <v>640</v>
      </c>
      <c r="H73" t="s">
        <v>640</v>
      </c>
      <c r="Q73" t="s">
        <v>468</v>
      </c>
      <c r="R73">
        <v>1</v>
      </c>
      <c r="S73" t="s">
        <v>607</v>
      </c>
      <c r="AH73" t="str" cm="1">
        <f t="array" aca="1" ref="AH73" ca="1">+IFERROR(_xlfn.XLOOKUP($B73,INDIRECT("'[storico profut.xlsm]Consiglio_Week'!$B:$B"),INDIRECT("'[storico profut.xlsm]Consiglio_Week'!$I:$I")),"")</f>
        <v/>
      </c>
      <c r="AI73" t="str" cm="1">
        <f t="array" aca="1" ref="AI73" ca="1">+IFERROR(_xlfn.XLOOKUP($B73,INDIRECT("'[storico profut.xlsm]Consiglio_Week'!$B:$B"),INDIRECT("'[storico profut.xlsm]Consiglio_Week'!$L:$L")),"")</f>
        <v/>
      </c>
      <c r="AJ73" t="str" cm="1">
        <f t="array" aca="1" ref="AJ73" ca="1">+IFERROR(_xlfn.XLOOKUP($B73,INDIRECT("'[storico profut.xlsm]Consiglio_Week'!$B:$B"),INDIRECT("'[storico profut.xlsm]Consiglio_Week'!$M:$M")),"")</f>
        <v/>
      </c>
      <c r="AK73" t="str" cm="1">
        <f t="array" aca="1" ref="AK73" ca="1">+IFERROR(_xlfn.XLOOKUP($B73,INDIRECT("'[storico profut.xlsm]Consiglio_Week'!$B:$B"),INDIRECT("'[storico profut.xlsm]Consiglio_Week'!$P:$P")),"")</f>
        <v/>
      </c>
      <c r="AL73" s="21" t="str" cm="1">
        <f t="array" aca="1" ref="AL73" ca="1">IFERROR(
  _xlfn.XLOOKUP(
    $B73,
    INDIRECT("'[storico profut.xlsm]Consiglio_Week'!B:B"),
    OFFSET( INDIRECT("'[storico profut.xlsm]Consiglio_Week'!$R:$R"), 0, COLUMNS($A:A)-1 )
  ),
  ""
)</f>
        <v/>
      </c>
      <c r="AM73" s="21" t="str" cm="1">
        <f t="array" aca="1" ref="AM73" ca="1">IFERROR(
  _xlfn.XLOOKUP(
    $B73,
    INDIRECT("'[storico profut.xlsm]Consiglio_Week'!B:B"),
    OFFSET( INDIRECT("'[storico profut.xlsm]Consiglio_Week'!$R:$R"), 0, COLUMNS($A:B)-1 )
  ),
  ""
)</f>
        <v/>
      </c>
      <c r="AN73" s="21" t="str" cm="1">
        <f t="array" aca="1" ref="AN73" ca="1">IFERROR(
  _xlfn.XLOOKUP(
    $B73,
    INDIRECT("'[storico profut.xlsm]Consiglio_Week'!B:B"),
    OFFSET( INDIRECT("'[storico profut.xlsm]Consiglio_Week'!$R:$R"), 0, COLUMNS($A:C)-1 )
  ),
  ""
)</f>
        <v/>
      </c>
      <c r="AO73" s="21" t="str" cm="1">
        <f t="array" aca="1" ref="AO73" ca="1">IFERROR(
  _xlfn.XLOOKUP(
    $B73,
    INDIRECT("'[storico profut.xlsm]Consiglio_Week'!B:B"),
    OFFSET( INDIRECT("'[storico profut.xlsm]Consiglio_Week'!$R:$R"), 0, COLUMNS($A:D)-1 )
  ),
  ""
)</f>
        <v/>
      </c>
      <c r="AP73" s="21" t="str" cm="1">
        <f t="array" aca="1" ref="AP73" ca="1">IFERROR(
  _xlfn.XLOOKUP(
    $B73,
    INDIRECT("'[storico profut.xlsm]Consiglio_Week'!B:B"),
    OFFSET( INDIRECT("'[storico profut.xlsm]Consiglio_Week'!$R:$R"), 0, COLUMNS($A:E)-1 )
  ),
  ""
)</f>
        <v/>
      </c>
      <c r="AQ73" s="22" t="str" cm="1">
        <f t="array" aca="1" ref="AQ73" ca="1">IFERROR(
  _xlfn.XLOOKUP(
    $B73,
    INDIRECT("'[storico profut.xlsm]Consiglio_Week'!B:B"),
    OFFSET( INDIRECT("'[storico profut.xlsm]Consiglio_Week'!$R:$R"), 0, COLUMNS($A:F)-1 )
  ),
  ""
)</f>
        <v/>
      </c>
      <c r="AR73" s="21" t="str" cm="1">
        <f t="array" aca="1" ref="AR73" ca="1">IFERROR(
  _xlfn.XLOOKUP(
    $B73,
    INDIRECT("'[storico profut.xlsm]Consiglio_Week'!B:B"),
    OFFSET( INDIRECT("'[storico profut.xlsm]Consiglio_Week'!$R:$R"), 0, COLUMNS($A:G)-1 )
  ),
  ""
)</f>
        <v/>
      </c>
      <c r="AS73" s="21" t="str" cm="1">
        <f t="array" aca="1" ref="AS73" ca="1">IFERROR(
  _xlfn.XLOOKUP(
    $B73,
    INDIRECT("'[storico profut.xlsm]Consiglio_Week'!B:B"),
    OFFSET( INDIRECT("'[storico profut.xlsm]Consiglio_Week'!$R:$R"), 0, COLUMNS($A:H)-1 )
  ),
  ""
)</f>
        <v/>
      </c>
      <c r="AT73" s="21" t="str" cm="1">
        <f t="array" aca="1" ref="AT73" ca="1">IFERROR(
  _xlfn.XLOOKUP(
    $B73,
    INDIRECT("'[storico profut.xlsm]Consiglio_Week'!B:B"),
    OFFSET( INDIRECT("'[storico profut.xlsm]Consiglio_Week'!$R:$R"), 0, COLUMNS($A:I)-1 )
  ),
  ""
)</f>
        <v/>
      </c>
      <c r="AU73" s="22" t="str" cm="1">
        <f t="array" aca="1" ref="AU73" ca="1">IFERROR(
  _xlfn.XLOOKUP(
    $B73,
    INDIRECT("'[storico profut.xlsm]Consiglio_Week'!B:B"),
    OFFSET( INDIRECT("'[storico profut.xlsm]Consiglio_Week'!$R:$R"), 0, COLUMNS($A:J)-1 )
  ),
  ""
)</f>
        <v/>
      </c>
      <c r="AV73" s="22" t="str" cm="1">
        <f t="array" aca="1" ref="AV73" ca="1">IFERROR(
  _xlfn.XLOOKUP(
    $B73,
    INDIRECT("'[storico profut.xlsm]Consiglio_Week'!B:B"),
    OFFSET( INDIRECT("'[storico profut.xlsm]Consiglio_Week'!$R:$R"), 0, COLUMNS($A:K)-1 )
  ),
  ""
)</f>
        <v/>
      </c>
      <c r="AW73" s="22" t="str" cm="1">
        <f t="array" aca="1" ref="AW73" ca="1">IFERROR(
  _xlfn.XLOOKUP(
    $B73,
    INDIRECT("'[storico profut.xlsm]Consiglio_Week'!B:B"),
    OFFSET( INDIRECT("'[storico profut.xlsm]Consiglio_Week'!$R:$R"), 0, COLUMNS($A:L)-1 )
  ),
  ""
)</f>
        <v/>
      </c>
      <c r="AX73" s="26" t="str" cm="1">
        <f t="array" aca="1" ref="AX73" ca="1">IFERROR(
  _xlfn.XLOOKUP(
    $B73,
    INDIRECT("'[storico profut.xlsm]Consiglio_Week'!B:B"),
    OFFSET( INDIRECT("'[storico profut.xlsm]Consiglio_Week'!$R:$R"), 0, COLUMNS($A:M)-1 )
  ),
  ""
)</f>
        <v/>
      </c>
      <c r="AY73" s="22">
        <v>0</v>
      </c>
    </row>
    <row r="74" spans="1:51">
      <c r="A74" t="s">
        <v>599</v>
      </c>
      <c r="B74" t="s">
        <v>501</v>
      </c>
      <c r="C74">
        <v>20</v>
      </c>
      <c r="D74">
        <v>2</v>
      </c>
      <c r="E74" s="6">
        <v>0.375</v>
      </c>
      <c r="F74" s="6">
        <v>0.625</v>
      </c>
      <c r="G74" t="s">
        <v>640</v>
      </c>
      <c r="H74" t="s">
        <v>640</v>
      </c>
      <c r="Q74" t="s">
        <v>468</v>
      </c>
      <c r="R74">
        <v>1</v>
      </c>
      <c r="S74" t="s">
        <v>607</v>
      </c>
      <c r="AH74" t="str" cm="1">
        <f t="array" aca="1" ref="AH74" ca="1">+IFERROR(_xlfn.XLOOKUP($B74,INDIRECT("'[storico profut.xlsm]Consiglio_Week'!$B:$B"),INDIRECT("'[storico profut.xlsm]Consiglio_Week'!$I:$I")),"")</f>
        <v/>
      </c>
      <c r="AI74" t="str" cm="1">
        <f t="array" aca="1" ref="AI74" ca="1">+IFERROR(_xlfn.XLOOKUP($B74,INDIRECT("'[storico profut.xlsm]Consiglio_Week'!$B:$B"),INDIRECT("'[storico profut.xlsm]Consiglio_Week'!$L:$L")),"")</f>
        <v/>
      </c>
      <c r="AJ74" t="str" cm="1">
        <f t="array" aca="1" ref="AJ74" ca="1">+IFERROR(_xlfn.XLOOKUP($B74,INDIRECT("'[storico profut.xlsm]Consiglio_Week'!$B:$B"),INDIRECT("'[storico profut.xlsm]Consiglio_Week'!$M:$M")),"")</f>
        <v/>
      </c>
      <c r="AK74" t="str" cm="1">
        <f t="array" aca="1" ref="AK74" ca="1">+IFERROR(_xlfn.XLOOKUP($B74,INDIRECT("'[storico profut.xlsm]Consiglio_Week'!$B:$B"),INDIRECT("'[storico profut.xlsm]Consiglio_Week'!$P:$P")),"")</f>
        <v/>
      </c>
      <c r="AL74" s="21" t="str" cm="1">
        <f t="array" aca="1" ref="AL74" ca="1">IFERROR(
  _xlfn.XLOOKUP(
    $B74,
    INDIRECT("'[storico profut.xlsm]Consiglio_Week'!B:B"),
    OFFSET( INDIRECT("'[storico profut.xlsm]Consiglio_Week'!$R:$R"), 0, COLUMNS($A:A)-1 )
  ),
  ""
)</f>
        <v/>
      </c>
      <c r="AM74" s="21" t="str" cm="1">
        <f t="array" aca="1" ref="AM74" ca="1">IFERROR(
  _xlfn.XLOOKUP(
    $B74,
    INDIRECT("'[storico profut.xlsm]Consiglio_Week'!B:B"),
    OFFSET( INDIRECT("'[storico profut.xlsm]Consiglio_Week'!$R:$R"), 0, COLUMNS($A:B)-1 )
  ),
  ""
)</f>
        <v/>
      </c>
      <c r="AN74" s="21" t="str" cm="1">
        <f t="array" aca="1" ref="AN74" ca="1">IFERROR(
  _xlfn.XLOOKUP(
    $B74,
    INDIRECT("'[storico profut.xlsm]Consiglio_Week'!B:B"),
    OFFSET( INDIRECT("'[storico profut.xlsm]Consiglio_Week'!$R:$R"), 0, COLUMNS($A:C)-1 )
  ),
  ""
)</f>
        <v/>
      </c>
      <c r="AO74" s="21" t="str" cm="1">
        <f t="array" aca="1" ref="AO74" ca="1">IFERROR(
  _xlfn.XLOOKUP(
    $B74,
    INDIRECT("'[storico profut.xlsm]Consiglio_Week'!B:B"),
    OFFSET( INDIRECT("'[storico profut.xlsm]Consiglio_Week'!$R:$R"), 0, COLUMNS($A:D)-1 )
  ),
  ""
)</f>
        <v/>
      </c>
      <c r="AP74" s="21" t="str" cm="1">
        <f t="array" aca="1" ref="AP74" ca="1">IFERROR(
  _xlfn.XLOOKUP(
    $B74,
    INDIRECT("'[storico profut.xlsm]Consiglio_Week'!B:B"),
    OFFSET( INDIRECT("'[storico profut.xlsm]Consiglio_Week'!$R:$R"), 0, COLUMNS($A:E)-1 )
  ),
  ""
)</f>
        <v/>
      </c>
      <c r="AQ74" s="22" t="str" cm="1">
        <f t="array" aca="1" ref="AQ74" ca="1">IFERROR(
  _xlfn.XLOOKUP(
    $B74,
    INDIRECT("'[storico profut.xlsm]Consiglio_Week'!B:B"),
    OFFSET( INDIRECT("'[storico profut.xlsm]Consiglio_Week'!$R:$R"), 0, COLUMNS($A:F)-1 )
  ),
  ""
)</f>
        <v/>
      </c>
      <c r="AR74" s="21" t="str" cm="1">
        <f t="array" aca="1" ref="AR74" ca="1">IFERROR(
  _xlfn.XLOOKUP(
    $B74,
    INDIRECT("'[storico profut.xlsm]Consiglio_Week'!B:B"),
    OFFSET( INDIRECT("'[storico profut.xlsm]Consiglio_Week'!$R:$R"), 0, COLUMNS($A:G)-1 )
  ),
  ""
)</f>
        <v/>
      </c>
      <c r="AS74" s="21" t="str" cm="1">
        <f t="array" aca="1" ref="AS74" ca="1">IFERROR(
  _xlfn.XLOOKUP(
    $B74,
    INDIRECT("'[storico profut.xlsm]Consiglio_Week'!B:B"),
    OFFSET( INDIRECT("'[storico profut.xlsm]Consiglio_Week'!$R:$R"), 0, COLUMNS($A:H)-1 )
  ),
  ""
)</f>
        <v/>
      </c>
      <c r="AT74" s="21" t="str" cm="1">
        <f t="array" aca="1" ref="AT74" ca="1">IFERROR(
  _xlfn.XLOOKUP(
    $B74,
    INDIRECT("'[storico profut.xlsm]Consiglio_Week'!B:B"),
    OFFSET( INDIRECT("'[storico profut.xlsm]Consiglio_Week'!$R:$R"), 0, COLUMNS($A:I)-1 )
  ),
  ""
)</f>
        <v/>
      </c>
      <c r="AU74" s="22" t="str" cm="1">
        <f t="array" aca="1" ref="AU74" ca="1">IFERROR(
  _xlfn.XLOOKUP(
    $B74,
    INDIRECT("'[storico profut.xlsm]Consiglio_Week'!B:B"),
    OFFSET( INDIRECT("'[storico profut.xlsm]Consiglio_Week'!$R:$R"), 0, COLUMNS($A:J)-1 )
  ),
  ""
)</f>
        <v/>
      </c>
      <c r="AV74" s="22" t="str" cm="1">
        <f t="array" aca="1" ref="AV74" ca="1">IFERROR(
  _xlfn.XLOOKUP(
    $B74,
    INDIRECT("'[storico profut.xlsm]Consiglio_Week'!B:B"),
    OFFSET( INDIRECT("'[storico profut.xlsm]Consiglio_Week'!$R:$R"), 0, COLUMNS($A:K)-1 )
  ),
  ""
)</f>
        <v/>
      </c>
      <c r="AW74" s="22" t="str" cm="1">
        <f t="array" aca="1" ref="AW74" ca="1">IFERROR(
  _xlfn.XLOOKUP(
    $B74,
    INDIRECT("'[storico profut.xlsm]Consiglio_Week'!B:B"),
    OFFSET( INDIRECT("'[storico profut.xlsm]Consiglio_Week'!$R:$R"), 0, COLUMNS($A:L)-1 )
  ),
  ""
)</f>
        <v/>
      </c>
      <c r="AX74" s="26" t="str" cm="1">
        <f t="array" aca="1" ref="AX74" ca="1">IFERROR(
  _xlfn.XLOOKUP(
    $B74,
    INDIRECT("'[storico profut.xlsm]Consiglio_Week'!B:B"),
    OFFSET( INDIRECT("'[storico profut.xlsm]Consiglio_Week'!$R:$R"), 0, COLUMNS($A:M)-1 )
  ),
  ""
)</f>
        <v/>
      </c>
      <c r="AY74" s="22">
        <v>0</v>
      </c>
    </row>
    <row r="75" spans="1:51">
      <c r="A75" t="s">
        <v>600</v>
      </c>
      <c r="B75" t="s">
        <v>502</v>
      </c>
      <c r="C75">
        <v>20</v>
      </c>
      <c r="D75">
        <v>2</v>
      </c>
      <c r="E75" s="6">
        <v>0.375</v>
      </c>
      <c r="F75" s="6">
        <v>0.625</v>
      </c>
      <c r="G75" t="s">
        <v>640</v>
      </c>
      <c r="H75" t="s">
        <v>640</v>
      </c>
      <c r="Q75" t="s">
        <v>468</v>
      </c>
      <c r="R75">
        <v>1</v>
      </c>
      <c r="S75" t="s">
        <v>607</v>
      </c>
      <c r="AH75" t="str" cm="1">
        <f t="array" aca="1" ref="AH75" ca="1">+IFERROR(_xlfn.XLOOKUP($B75,INDIRECT("'[storico profut.xlsm]Consiglio_Week'!$B:$B"),INDIRECT("'[storico profut.xlsm]Consiglio_Week'!$I:$I")),"")</f>
        <v/>
      </c>
      <c r="AI75" t="str" cm="1">
        <f t="array" aca="1" ref="AI75" ca="1">+IFERROR(_xlfn.XLOOKUP($B75,INDIRECT("'[storico profut.xlsm]Consiglio_Week'!$B:$B"),INDIRECT("'[storico profut.xlsm]Consiglio_Week'!$L:$L")),"")</f>
        <v/>
      </c>
      <c r="AJ75" t="str" cm="1">
        <f t="array" aca="1" ref="AJ75" ca="1">+IFERROR(_xlfn.XLOOKUP($B75,INDIRECT("'[storico profut.xlsm]Consiglio_Week'!$B:$B"),INDIRECT("'[storico profut.xlsm]Consiglio_Week'!$M:$M")),"")</f>
        <v/>
      </c>
      <c r="AK75" t="str" cm="1">
        <f t="array" aca="1" ref="AK75" ca="1">+IFERROR(_xlfn.XLOOKUP($B75,INDIRECT("'[storico profut.xlsm]Consiglio_Week'!$B:$B"),INDIRECT("'[storico profut.xlsm]Consiglio_Week'!$P:$P")),"")</f>
        <v/>
      </c>
      <c r="AL75" s="21" t="str" cm="1">
        <f t="array" aca="1" ref="AL75" ca="1">IFERROR(
  _xlfn.XLOOKUP(
    $B75,
    INDIRECT("'[storico profut.xlsm]Consiglio_Week'!B:B"),
    OFFSET( INDIRECT("'[storico profut.xlsm]Consiglio_Week'!$R:$R"), 0, COLUMNS($A:A)-1 )
  ),
  ""
)</f>
        <v/>
      </c>
      <c r="AM75" s="21" t="str" cm="1">
        <f t="array" aca="1" ref="AM75" ca="1">IFERROR(
  _xlfn.XLOOKUP(
    $B75,
    INDIRECT("'[storico profut.xlsm]Consiglio_Week'!B:B"),
    OFFSET( INDIRECT("'[storico profut.xlsm]Consiglio_Week'!$R:$R"), 0, COLUMNS($A:B)-1 )
  ),
  ""
)</f>
        <v/>
      </c>
      <c r="AN75" s="21" t="str" cm="1">
        <f t="array" aca="1" ref="AN75" ca="1">IFERROR(
  _xlfn.XLOOKUP(
    $B75,
    INDIRECT("'[storico profut.xlsm]Consiglio_Week'!B:B"),
    OFFSET( INDIRECT("'[storico profut.xlsm]Consiglio_Week'!$R:$R"), 0, COLUMNS($A:C)-1 )
  ),
  ""
)</f>
        <v/>
      </c>
      <c r="AO75" s="21" t="str" cm="1">
        <f t="array" aca="1" ref="AO75" ca="1">IFERROR(
  _xlfn.XLOOKUP(
    $B75,
    INDIRECT("'[storico profut.xlsm]Consiglio_Week'!B:B"),
    OFFSET( INDIRECT("'[storico profut.xlsm]Consiglio_Week'!$R:$R"), 0, COLUMNS($A:D)-1 )
  ),
  ""
)</f>
        <v/>
      </c>
      <c r="AP75" s="21" t="str" cm="1">
        <f t="array" aca="1" ref="AP75" ca="1">IFERROR(
  _xlfn.XLOOKUP(
    $B75,
    INDIRECT("'[storico profut.xlsm]Consiglio_Week'!B:B"),
    OFFSET( INDIRECT("'[storico profut.xlsm]Consiglio_Week'!$R:$R"), 0, COLUMNS($A:E)-1 )
  ),
  ""
)</f>
        <v/>
      </c>
      <c r="AQ75" s="22" t="str" cm="1">
        <f t="array" aca="1" ref="AQ75" ca="1">IFERROR(
  _xlfn.XLOOKUP(
    $B75,
    INDIRECT("'[storico profut.xlsm]Consiglio_Week'!B:B"),
    OFFSET( INDIRECT("'[storico profut.xlsm]Consiglio_Week'!$R:$R"), 0, COLUMNS($A:F)-1 )
  ),
  ""
)</f>
        <v/>
      </c>
      <c r="AR75" s="21" t="str" cm="1">
        <f t="array" aca="1" ref="AR75" ca="1">IFERROR(
  _xlfn.XLOOKUP(
    $B75,
    INDIRECT("'[storico profut.xlsm]Consiglio_Week'!B:B"),
    OFFSET( INDIRECT("'[storico profut.xlsm]Consiglio_Week'!$R:$R"), 0, COLUMNS($A:G)-1 )
  ),
  ""
)</f>
        <v/>
      </c>
      <c r="AS75" s="21" t="str" cm="1">
        <f t="array" aca="1" ref="AS75" ca="1">IFERROR(
  _xlfn.XLOOKUP(
    $B75,
    INDIRECT("'[storico profut.xlsm]Consiglio_Week'!B:B"),
    OFFSET( INDIRECT("'[storico profut.xlsm]Consiglio_Week'!$R:$R"), 0, COLUMNS($A:H)-1 )
  ),
  ""
)</f>
        <v/>
      </c>
      <c r="AT75" s="21" t="str" cm="1">
        <f t="array" aca="1" ref="AT75" ca="1">IFERROR(
  _xlfn.XLOOKUP(
    $B75,
    INDIRECT("'[storico profut.xlsm]Consiglio_Week'!B:B"),
    OFFSET( INDIRECT("'[storico profut.xlsm]Consiglio_Week'!$R:$R"), 0, COLUMNS($A:I)-1 )
  ),
  ""
)</f>
        <v/>
      </c>
      <c r="AU75" s="22" t="str" cm="1">
        <f t="array" aca="1" ref="AU75" ca="1">IFERROR(
  _xlfn.XLOOKUP(
    $B75,
    INDIRECT("'[storico profut.xlsm]Consiglio_Week'!B:B"),
    OFFSET( INDIRECT("'[storico profut.xlsm]Consiglio_Week'!$R:$R"), 0, COLUMNS($A:J)-1 )
  ),
  ""
)</f>
        <v/>
      </c>
      <c r="AV75" s="22" t="str" cm="1">
        <f t="array" aca="1" ref="AV75" ca="1">IFERROR(
  _xlfn.XLOOKUP(
    $B75,
    INDIRECT("'[storico profut.xlsm]Consiglio_Week'!B:B"),
    OFFSET( INDIRECT("'[storico profut.xlsm]Consiglio_Week'!$R:$R"), 0, COLUMNS($A:K)-1 )
  ),
  ""
)</f>
        <v/>
      </c>
      <c r="AW75" s="22" t="str" cm="1">
        <f t="array" aca="1" ref="AW75" ca="1">IFERROR(
  _xlfn.XLOOKUP(
    $B75,
    INDIRECT("'[storico profut.xlsm]Consiglio_Week'!B:B"),
    OFFSET( INDIRECT("'[storico profut.xlsm]Consiglio_Week'!$R:$R"), 0, COLUMNS($A:L)-1 )
  ),
  ""
)</f>
        <v/>
      </c>
      <c r="AX75" s="26" t="str" cm="1">
        <f t="array" aca="1" ref="AX75" ca="1">IFERROR(
  _xlfn.XLOOKUP(
    $B75,
    INDIRECT("'[storico profut.xlsm]Consiglio_Week'!B:B"),
    OFFSET( INDIRECT("'[storico profut.xlsm]Consiglio_Week'!$R:$R"), 0, COLUMNS($A:M)-1 )
  ),
  ""
)</f>
        <v/>
      </c>
      <c r="AY75" s="22">
        <v>0</v>
      </c>
    </row>
    <row r="76" spans="1:51">
      <c r="A76" t="s">
        <v>601</v>
      </c>
      <c r="B76" t="s">
        <v>507</v>
      </c>
      <c r="C76">
        <v>20</v>
      </c>
      <c r="D76">
        <v>2</v>
      </c>
      <c r="E76" s="6">
        <v>0.625</v>
      </c>
      <c r="F76" s="6">
        <v>0.875</v>
      </c>
      <c r="H76" t="s">
        <v>640</v>
      </c>
      <c r="Q76" t="s">
        <v>468</v>
      </c>
      <c r="R76">
        <v>1</v>
      </c>
      <c r="S76" t="s">
        <v>607</v>
      </c>
      <c r="AH76" t="str" cm="1">
        <f t="array" aca="1" ref="AH76" ca="1">+IFERROR(_xlfn.XLOOKUP($B76,INDIRECT("'[storico profut.xlsm]Consiglio_Week'!$B:$B"),INDIRECT("'[storico profut.xlsm]Consiglio_Week'!$I:$I")),"")</f>
        <v/>
      </c>
      <c r="AI76" t="str" cm="1">
        <f t="array" aca="1" ref="AI76" ca="1">+IFERROR(_xlfn.XLOOKUP($B76,INDIRECT("'[storico profut.xlsm]Consiglio_Week'!$B:$B"),INDIRECT("'[storico profut.xlsm]Consiglio_Week'!$L:$L")),"")</f>
        <v/>
      </c>
      <c r="AJ76" t="str" cm="1">
        <f t="array" aca="1" ref="AJ76" ca="1">+IFERROR(_xlfn.XLOOKUP($B76,INDIRECT("'[storico profut.xlsm]Consiglio_Week'!$B:$B"),INDIRECT("'[storico profut.xlsm]Consiglio_Week'!$M:$M")),"")</f>
        <v/>
      </c>
      <c r="AK76" t="str" cm="1">
        <f t="array" aca="1" ref="AK76" ca="1">+IFERROR(_xlfn.XLOOKUP($B76,INDIRECT("'[storico profut.xlsm]Consiglio_Week'!$B:$B"),INDIRECT("'[storico profut.xlsm]Consiglio_Week'!$P:$P")),"")</f>
        <v/>
      </c>
      <c r="AL76" s="21" t="str" cm="1">
        <f t="array" aca="1" ref="AL76" ca="1">IFERROR(
  _xlfn.XLOOKUP(
    $B76,
    INDIRECT("'[storico profut.xlsm]Consiglio_Week'!B:B"),
    OFFSET( INDIRECT("'[storico profut.xlsm]Consiglio_Week'!$R:$R"), 0, COLUMNS($A:A)-1 )
  ),
  ""
)</f>
        <v/>
      </c>
      <c r="AM76" s="21" t="str" cm="1">
        <f t="array" aca="1" ref="AM76" ca="1">IFERROR(
  _xlfn.XLOOKUP(
    $B76,
    INDIRECT("'[storico profut.xlsm]Consiglio_Week'!B:B"),
    OFFSET( INDIRECT("'[storico profut.xlsm]Consiglio_Week'!$R:$R"), 0, COLUMNS($A:B)-1 )
  ),
  ""
)</f>
        <v/>
      </c>
      <c r="AN76" s="21" t="str" cm="1">
        <f t="array" aca="1" ref="AN76" ca="1">IFERROR(
  _xlfn.XLOOKUP(
    $B76,
    INDIRECT("'[storico profut.xlsm]Consiglio_Week'!B:B"),
    OFFSET( INDIRECT("'[storico profut.xlsm]Consiglio_Week'!$R:$R"), 0, COLUMNS($A:C)-1 )
  ),
  ""
)</f>
        <v/>
      </c>
      <c r="AO76" s="21" t="str" cm="1">
        <f t="array" aca="1" ref="AO76" ca="1">IFERROR(
  _xlfn.XLOOKUP(
    $B76,
    INDIRECT("'[storico profut.xlsm]Consiglio_Week'!B:B"),
    OFFSET( INDIRECT("'[storico profut.xlsm]Consiglio_Week'!$R:$R"), 0, COLUMNS($A:D)-1 )
  ),
  ""
)</f>
        <v/>
      </c>
      <c r="AP76" s="21" t="str" cm="1">
        <f t="array" aca="1" ref="AP76" ca="1">IFERROR(
  _xlfn.XLOOKUP(
    $B76,
    INDIRECT("'[storico profut.xlsm]Consiglio_Week'!B:B"),
    OFFSET( INDIRECT("'[storico profut.xlsm]Consiglio_Week'!$R:$R"), 0, COLUMNS($A:E)-1 )
  ),
  ""
)</f>
        <v/>
      </c>
      <c r="AQ76" s="22" t="str" cm="1">
        <f t="array" aca="1" ref="AQ76" ca="1">IFERROR(
  _xlfn.XLOOKUP(
    $B76,
    INDIRECT("'[storico profut.xlsm]Consiglio_Week'!B:B"),
    OFFSET( INDIRECT("'[storico profut.xlsm]Consiglio_Week'!$R:$R"), 0, COLUMNS($A:F)-1 )
  ),
  ""
)</f>
        <v/>
      </c>
      <c r="AR76" s="21" t="str" cm="1">
        <f t="array" aca="1" ref="AR76" ca="1">IFERROR(
  _xlfn.XLOOKUP(
    $B76,
    INDIRECT("'[storico profut.xlsm]Consiglio_Week'!B:B"),
    OFFSET( INDIRECT("'[storico profut.xlsm]Consiglio_Week'!$R:$R"), 0, COLUMNS($A:G)-1 )
  ),
  ""
)</f>
        <v/>
      </c>
      <c r="AS76" s="21" t="str" cm="1">
        <f t="array" aca="1" ref="AS76" ca="1">IFERROR(
  _xlfn.XLOOKUP(
    $B76,
    INDIRECT("'[storico profut.xlsm]Consiglio_Week'!B:B"),
    OFFSET( INDIRECT("'[storico profut.xlsm]Consiglio_Week'!$R:$R"), 0, COLUMNS($A:H)-1 )
  ),
  ""
)</f>
        <v/>
      </c>
      <c r="AT76" s="21" t="str" cm="1">
        <f t="array" aca="1" ref="AT76" ca="1">IFERROR(
  _xlfn.XLOOKUP(
    $B76,
    INDIRECT("'[storico profut.xlsm]Consiglio_Week'!B:B"),
    OFFSET( INDIRECT("'[storico profut.xlsm]Consiglio_Week'!$R:$R"), 0, COLUMNS($A:I)-1 )
  ),
  ""
)</f>
        <v/>
      </c>
      <c r="AU76" s="22" t="str" cm="1">
        <f t="array" aca="1" ref="AU76" ca="1">IFERROR(
  _xlfn.XLOOKUP(
    $B76,
    INDIRECT("'[storico profut.xlsm]Consiglio_Week'!B:B"),
    OFFSET( INDIRECT("'[storico profut.xlsm]Consiglio_Week'!$R:$R"), 0, COLUMNS($A:J)-1 )
  ),
  ""
)</f>
        <v/>
      </c>
      <c r="AV76" s="22" t="str" cm="1">
        <f t="array" aca="1" ref="AV76" ca="1">IFERROR(
  _xlfn.XLOOKUP(
    $B76,
    INDIRECT("'[storico profut.xlsm]Consiglio_Week'!B:B"),
    OFFSET( INDIRECT("'[storico profut.xlsm]Consiglio_Week'!$R:$R"), 0, COLUMNS($A:K)-1 )
  ),
  ""
)</f>
        <v/>
      </c>
      <c r="AW76" s="22" t="str" cm="1">
        <f t="array" aca="1" ref="AW76" ca="1">IFERROR(
  _xlfn.XLOOKUP(
    $B76,
    INDIRECT("'[storico profut.xlsm]Consiglio_Week'!B:B"),
    OFFSET( INDIRECT("'[storico profut.xlsm]Consiglio_Week'!$R:$R"), 0, COLUMNS($A:L)-1 )
  ),
  ""
)</f>
        <v/>
      </c>
      <c r="AX76" s="26" t="str" cm="1">
        <f t="array" aca="1" ref="AX76" ca="1">IFERROR(
  _xlfn.XLOOKUP(
    $B76,
    INDIRECT("'[storico profut.xlsm]Consiglio_Week'!B:B"),
    OFFSET( INDIRECT("'[storico profut.xlsm]Consiglio_Week'!$R:$R"), 0, COLUMNS($A:M)-1 )
  ),
  ""
)</f>
        <v/>
      </c>
      <c r="AY76" s="22">
        <v>0</v>
      </c>
    </row>
    <row r="77" spans="1:51">
      <c r="A77" t="s">
        <v>602</v>
      </c>
      <c r="B77" t="s">
        <v>508</v>
      </c>
      <c r="C77">
        <v>20</v>
      </c>
      <c r="D77">
        <v>2</v>
      </c>
      <c r="E77" s="6">
        <v>0.625</v>
      </c>
      <c r="F77" s="6">
        <v>0.875</v>
      </c>
      <c r="H77" t="s">
        <v>640</v>
      </c>
      <c r="Q77" t="s">
        <v>468</v>
      </c>
      <c r="R77">
        <v>1</v>
      </c>
      <c r="S77" t="s">
        <v>607</v>
      </c>
      <c r="AH77" t="str" cm="1">
        <f t="array" aca="1" ref="AH77" ca="1">+IFERROR(_xlfn.XLOOKUP($B77,INDIRECT("'[storico profut.xlsm]Consiglio_Week'!$B:$B"),INDIRECT("'[storico profut.xlsm]Consiglio_Week'!$I:$I")),"")</f>
        <v/>
      </c>
      <c r="AI77" t="str" cm="1">
        <f t="array" aca="1" ref="AI77" ca="1">+IFERROR(_xlfn.XLOOKUP($B77,INDIRECT("'[storico profut.xlsm]Consiglio_Week'!$B:$B"),INDIRECT("'[storico profut.xlsm]Consiglio_Week'!$L:$L")),"")</f>
        <v/>
      </c>
      <c r="AJ77" t="str" cm="1">
        <f t="array" aca="1" ref="AJ77" ca="1">+IFERROR(_xlfn.XLOOKUP($B77,INDIRECT("'[storico profut.xlsm]Consiglio_Week'!$B:$B"),INDIRECT("'[storico profut.xlsm]Consiglio_Week'!$M:$M")),"")</f>
        <v/>
      </c>
      <c r="AK77" t="str" cm="1">
        <f t="array" aca="1" ref="AK77" ca="1">+IFERROR(_xlfn.XLOOKUP($B77,INDIRECT("'[storico profut.xlsm]Consiglio_Week'!$B:$B"),INDIRECT("'[storico profut.xlsm]Consiglio_Week'!$P:$P")),"")</f>
        <v/>
      </c>
      <c r="AL77" s="21" t="str" cm="1">
        <f t="array" aca="1" ref="AL77" ca="1">IFERROR(
  _xlfn.XLOOKUP(
    $B77,
    INDIRECT("'[storico profut.xlsm]Consiglio_Week'!B:B"),
    OFFSET( INDIRECT("'[storico profut.xlsm]Consiglio_Week'!$R:$R"), 0, COLUMNS($A:A)-1 )
  ),
  ""
)</f>
        <v/>
      </c>
      <c r="AM77" s="21" t="str" cm="1">
        <f t="array" aca="1" ref="AM77" ca="1">IFERROR(
  _xlfn.XLOOKUP(
    $B77,
    INDIRECT("'[storico profut.xlsm]Consiglio_Week'!B:B"),
    OFFSET( INDIRECT("'[storico profut.xlsm]Consiglio_Week'!$R:$R"), 0, COLUMNS($A:B)-1 )
  ),
  ""
)</f>
        <v/>
      </c>
      <c r="AN77" s="21" t="str" cm="1">
        <f t="array" aca="1" ref="AN77" ca="1">IFERROR(
  _xlfn.XLOOKUP(
    $B77,
    INDIRECT("'[storico profut.xlsm]Consiglio_Week'!B:B"),
    OFFSET( INDIRECT("'[storico profut.xlsm]Consiglio_Week'!$R:$R"), 0, COLUMNS($A:C)-1 )
  ),
  ""
)</f>
        <v/>
      </c>
      <c r="AO77" s="21" t="str" cm="1">
        <f t="array" aca="1" ref="AO77" ca="1">IFERROR(
  _xlfn.XLOOKUP(
    $B77,
    INDIRECT("'[storico profut.xlsm]Consiglio_Week'!B:B"),
    OFFSET( INDIRECT("'[storico profut.xlsm]Consiglio_Week'!$R:$R"), 0, COLUMNS($A:D)-1 )
  ),
  ""
)</f>
        <v/>
      </c>
      <c r="AP77" s="21" t="str" cm="1">
        <f t="array" aca="1" ref="AP77" ca="1">IFERROR(
  _xlfn.XLOOKUP(
    $B77,
    INDIRECT("'[storico profut.xlsm]Consiglio_Week'!B:B"),
    OFFSET( INDIRECT("'[storico profut.xlsm]Consiglio_Week'!$R:$R"), 0, COLUMNS($A:E)-1 )
  ),
  ""
)</f>
        <v/>
      </c>
      <c r="AQ77" s="22" t="str" cm="1">
        <f t="array" aca="1" ref="AQ77" ca="1">IFERROR(
  _xlfn.XLOOKUP(
    $B77,
    INDIRECT("'[storico profut.xlsm]Consiglio_Week'!B:B"),
    OFFSET( INDIRECT("'[storico profut.xlsm]Consiglio_Week'!$R:$R"), 0, COLUMNS($A:F)-1 )
  ),
  ""
)</f>
        <v/>
      </c>
      <c r="AR77" s="21" t="str" cm="1">
        <f t="array" aca="1" ref="AR77" ca="1">IFERROR(
  _xlfn.XLOOKUP(
    $B77,
    INDIRECT("'[storico profut.xlsm]Consiglio_Week'!B:B"),
    OFFSET( INDIRECT("'[storico profut.xlsm]Consiglio_Week'!$R:$R"), 0, COLUMNS($A:G)-1 )
  ),
  ""
)</f>
        <v/>
      </c>
      <c r="AS77" s="21" t="str" cm="1">
        <f t="array" aca="1" ref="AS77" ca="1">IFERROR(
  _xlfn.XLOOKUP(
    $B77,
    INDIRECT("'[storico profut.xlsm]Consiglio_Week'!B:B"),
    OFFSET( INDIRECT("'[storico profut.xlsm]Consiglio_Week'!$R:$R"), 0, COLUMNS($A:H)-1 )
  ),
  ""
)</f>
        <v/>
      </c>
      <c r="AT77" s="21" t="str" cm="1">
        <f t="array" aca="1" ref="AT77" ca="1">IFERROR(
  _xlfn.XLOOKUP(
    $B77,
    INDIRECT("'[storico profut.xlsm]Consiglio_Week'!B:B"),
    OFFSET( INDIRECT("'[storico profut.xlsm]Consiglio_Week'!$R:$R"), 0, COLUMNS($A:I)-1 )
  ),
  ""
)</f>
        <v/>
      </c>
      <c r="AU77" s="22" t="str" cm="1">
        <f t="array" aca="1" ref="AU77" ca="1">IFERROR(
  _xlfn.XLOOKUP(
    $B77,
    INDIRECT("'[storico profut.xlsm]Consiglio_Week'!B:B"),
    OFFSET( INDIRECT("'[storico profut.xlsm]Consiglio_Week'!$R:$R"), 0, COLUMNS($A:J)-1 )
  ),
  ""
)</f>
        <v/>
      </c>
      <c r="AV77" s="22" t="str" cm="1">
        <f t="array" aca="1" ref="AV77" ca="1">IFERROR(
  _xlfn.XLOOKUP(
    $B77,
    INDIRECT("'[storico profut.xlsm]Consiglio_Week'!B:B"),
    OFFSET( INDIRECT("'[storico profut.xlsm]Consiglio_Week'!$R:$R"), 0, COLUMNS($A:K)-1 )
  ),
  ""
)</f>
        <v/>
      </c>
      <c r="AW77" s="22" t="str" cm="1">
        <f t="array" aca="1" ref="AW77" ca="1">IFERROR(
  _xlfn.XLOOKUP(
    $B77,
    INDIRECT("'[storico profut.xlsm]Consiglio_Week'!B:B"),
    OFFSET( INDIRECT("'[storico profut.xlsm]Consiglio_Week'!$R:$R"), 0, COLUMNS($A:L)-1 )
  ),
  ""
)</f>
        <v/>
      </c>
      <c r="AX77" s="26" t="str" cm="1">
        <f t="array" aca="1" ref="AX77" ca="1">IFERROR(
  _xlfn.XLOOKUP(
    $B77,
    INDIRECT("'[storico profut.xlsm]Consiglio_Week'!B:B"),
    OFFSET( INDIRECT("'[storico profut.xlsm]Consiglio_Week'!$R:$R"), 0, COLUMNS($A:M)-1 )
  ),
  ""
)</f>
        <v/>
      </c>
      <c r="AY77" s="22">
        <v>0</v>
      </c>
    </row>
    <row r="78" spans="1:51">
      <c r="A78" t="s">
        <v>603</v>
      </c>
      <c r="B78" t="s">
        <v>510</v>
      </c>
      <c r="C78">
        <v>20</v>
      </c>
      <c r="D78">
        <v>2</v>
      </c>
      <c r="E78" s="6">
        <v>0.625</v>
      </c>
      <c r="F78" s="6">
        <v>0.875</v>
      </c>
      <c r="H78" t="s">
        <v>640</v>
      </c>
      <c r="Q78" t="s">
        <v>468</v>
      </c>
      <c r="R78">
        <v>1</v>
      </c>
      <c r="S78" t="s">
        <v>607</v>
      </c>
      <c r="AH78" t="str" cm="1">
        <f t="array" aca="1" ref="AH78" ca="1">+IFERROR(_xlfn.XLOOKUP($B78,INDIRECT("'[storico profut.xlsm]Consiglio_Week'!$B:$B"),INDIRECT("'[storico profut.xlsm]Consiglio_Week'!$I:$I")),"")</f>
        <v/>
      </c>
      <c r="AI78" t="str" cm="1">
        <f t="array" aca="1" ref="AI78" ca="1">+IFERROR(_xlfn.XLOOKUP($B78,INDIRECT("'[storico profut.xlsm]Consiglio_Week'!$B:$B"),INDIRECT("'[storico profut.xlsm]Consiglio_Week'!$L:$L")),"")</f>
        <v/>
      </c>
      <c r="AJ78" t="str" cm="1">
        <f t="array" aca="1" ref="AJ78" ca="1">+IFERROR(_xlfn.XLOOKUP($B78,INDIRECT("'[storico profut.xlsm]Consiglio_Week'!$B:$B"),INDIRECT("'[storico profut.xlsm]Consiglio_Week'!$M:$M")),"")</f>
        <v/>
      </c>
      <c r="AK78" t="str" cm="1">
        <f t="array" aca="1" ref="AK78" ca="1">+IFERROR(_xlfn.XLOOKUP($B78,INDIRECT("'[storico profut.xlsm]Consiglio_Week'!$B:$B"),INDIRECT("'[storico profut.xlsm]Consiglio_Week'!$P:$P")),"")</f>
        <v/>
      </c>
      <c r="AL78" s="21" t="str" cm="1">
        <f t="array" aca="1" ref="AL78" ca="1">IFERROR(
  _xlfn.XLOOKUP(
    $B78,
    INDIRECT("'[storico profut.xlsm]Consiglio_Week'!B:B"),
    OFFSET( INDIRECT("'[storico profut.xlsm]Consiglio_Week'!$R:$R"), 0, COLUMNS($A:A)-1 )
  ),
  ""
)</f>
        <v/>
      </c>
      <c r="AM78" s="21" t="str" cm="1">
        <f t="array" aca="1" ref="AM78" ca="1">IFERROR(
  _xlfn.XLOOKUP(
    $B78,
    INDIRECT("'[storico profut.xlsm]Consiglio_Week'!B:B"),
    OFFSET( INDIRECT("'[storico profut.xlsm]Consiglio_Week'!$R:$R"), 0, COLUMNS($A:B)-1 )
  ),
  ""
)</f>
        <v/>
      </c>
      <c r="AN78" s="21" t="str" cm="1">
        <f t="array" aca="1" ref="AN78" ca="1">IFERROR(
  _xlfn.XLOOKUP(
    $B78,
    INDIRECT("'[storico profut.xlsm]Consiglio_Week'!B:B"),
    OFFSET( INDIRECT("'[storico profut.xlsm]Consiglio_Week'!$R:$R"), 0, COLUMNS($A:C)-1 )
  ),
  ""
)</f>
        <v/>
      </c>
      <c r="AO78" s="21" t="str" cm="1">
        <f t="array" aca="1" ref="AO78" ca="1">IFERROR(
  _xlfn.XLOOKUP(
    $B78,
    INDIRECT("'[storico profut.xlsm]Consiglio_Week'!B:B"),
    OFFSET( INDIRECT("'[storico profut.xlsm]Consiglio_Week'!$R:$R"), 0, COLUMNS($A:D)-1 )
  ),
  ""
)</f>
        <v/>
      </c>
      <c r="AP78" s="21" t="str" cm="1">
        <f t="array" aca="1" ref="AP78" ca="1">IFERROR(
  _xlfn.XLOOKUP(
    $B78,
    INDIRECT("'[storico profut.xlsm]Consiglio_Week'!B:B"),
    OFFSET( INDIRECT("'[storico profut.xlsm]Consiglio_Week'!$R:$R"), 0, COLUMNS($A:E)-1 )
  ),
  ""
)</f>
        <v/>
      </c>
      <c r="AQ78" s="22" t="str" cm="1">
        <f t="array" aca="1" ref="AQ78" ca="1">IFERROR(
  _xlfn.XLOOKUP(
    $B78,
    INDIRECT("'[storico profut.xlsm]Consiglio_Week'!B:B"),
    OFFSET( INDIRECT("'[storico profut.xlsm]Consiglio_Week'!$R:$R"), 0, COLUMNS($A:F)-1 )
  ),
  ""
)</f>
        <v/>
      </c>
      <c r="AR78" s="21" t="str" cm="1">
        <f t="array" aca="1" ref="AR78" ca="1">IFERROR(
  _xlfn.XLOOKUP(
    $B78,
    INDIRECT("'[storico profut.xlsm]Consiglio_Week'!B:B"),
    OFFSET( INDIRECT("'[storico profut.xlsm]Consiglio_Week'!$R:$R"), 0, COLUMNS($A:G)-1 )
  ),
  ""
)</f>
        <v/>
      </c>
      <c r="AS78" s="21" t="str" cm="1">
        <f t="array" aca="1" ref="AS78" ca="1">IFERROR(
  _xlfn.XLOOKUP(
    $B78,
    INDIRECT("'[storico profut.xlsm]Consiglio_Week'!B:B"),
    OFFSET( INDIRECT("'[storico profut.xlsm]Consiglio_Week'!$R:$R"), 0, COLUMNS($A:H)-1 )
  ),
  ""
)</f>
        <v/>
      </c>
      <c r="AT78" s="21" t="str" cm="1">
        <f t="array" aca="1" ref="AT78" ca="1">IFERROR(
  _xlfn.XLOOKUP(
    $B78,
    INDIRECT("'[storico profut.xlsm]Consiglio_Week'!B:B"),
    OFFSET( INDIRECT("'[storico profut.xlsm]Consiglio_Week'!$R:$R"), 0, COLUMNS($A:I)-1 )
  ),
  ""
)</f>
        <v/>
      </c>
      <c r="AU78" s="22" t="str" cm="1">
        <f t="array" aca="1" ref="AU78" ca="1">IFERROR(
  _xlfn.XLOOKUP(
    $B78,
    INDIRECT("'[storico profut.xlsm]Consiglio_Week'!B:B"),
    OFFSET( INDIRECT("'[storico profut.xlsm]Consiglio_Week'!$R:$R"), 0, COLUMNS($A:J)-1 )
  ),
  ""
)</f>
        <v/>
      </c>
      <c r="AV78" s="22" t="str" cm="1">
        <f t="array" aca="1" ref="AV78" ca="1">IFERROR(
  _xlfn.XLOOKUP(
    $B78,
    INDIRECT("'[storico profut.xlsm]Consiglio_Week'!B:B"),
    OFFSET( INDIRECT("'[storico profut.xlsm]Consiglio_Week'!$R:$R"), 0, COLUMNS($A:K)-1 )
  ),
  ""
)</f>
        <v/>
      </c>
      <c r="AW78" s="22" t="str" cm="1">
        <f t="array" aca="1" ref="AW78" ca="1">IFERROR(
  _xlfn.XLOOKUP(
    $B78,
    INDIRECT("'[storico profut.xlsm]Consiglio_Week'!B:B"),
    OFFSET( INDIRECT("'[storico profut.xlsm]Consiglio_Week'!$R:$R"), 0, COLUMNS($A:L)-1 )
  ),
  ""
)</f>
        <v/>
      </c>
      <c r="AX78" s="26" t="str" cm="1">
        <f t="array" aca="1" ref="AX78" ca="1">IFERROR(
  _xlfn.XLOOKUP(
    $B78,
    INDIRECT("'[storico profut.xlsm]Consiglio_Week'!B:B"),
    OFFSET( INDIRECT("'[storico profut.xlsm]Consiglio_Week'!$R:$R"), 0, COLUMNS($A:M)-1 )
  ),
  ""
)</f>
        <v/>
      </c>
      <c r="AY78" s="22">
        <v>0</v>
      </c>
    </row>
    <row r="79" spans="1:51">
      <c r="A79" t="s">
        <v>604</v>
      </c>
      <c r="B79" t="s">
        <v>516</v>
      </c>
      <c r="C79">
        <v>20</v>
      </c>
      <c r="D79">
        <v>2</v>
      </c>
      <c r="E79" s="6">
        <v>0.625</v>
      </c>
      <c r="F79" s="6">
        <v>0.875</v>
      </c>
      <c r="G79" t="s">
        <v>640</v>
      </c>
      <c r="H79" t="s">
        <v>640</v>
      </c>
      <c r="Q79" t="s">
        <v>468</v>
      </c>
      <c r="R79">
        <v>1</v>
      </c>
      <c r="S79" t="s">
        <v>607</v>
      </c>
      <c r="AH79" t="str" cm="1">
        <f t="array" aca="1" ref="AH79" ca="1">+IFERROR(_xlfn.XLOOKUP($B79,INDIRECT("'[storico profut.xlsm]Consiglio_Week'!$B:$B"),INDIRECT("'[storico profut.xlsm]Consiglio_Week'!$I:$I")),"")</f>
        <v/>
      </c>
      <c r="AI79" t="str" cm="1">
        <f t="array" aca="1" ref="AI79" ca="1">+IFERROR(_xlfn.XLOOKUP($B79,INDIRECT("'[storico profut.xlsm]Consiglio_Week'!$B:$B"),INDIRECT("'[storico profut.xlsm]Consiglio_Week'!$L:$L")),"")</f>
        <v/>
      </c>
      <c r="AJ79" t="str" cm="1">
        <f t="array" aca="1" ref="AJ79" ca="1">+IFERROR(_xlfn.XLOOKUP($B79,INDIRECT("'[storico profut.xlsm]Consiglio_Week'!$B:$B"),INDIRECT("'[storico profut.xlsm]Consiglio_Week'!$M:$M")),"")</f>
        <v/>
      </c>
      <c r="AK79" t="str" cm="1">
        <f t="array" aca="1" ref="AK79" ca="1">+IFERROR(_xlfn.XLOOKUP($B79,INDIRECT("'[storico profut.xlsm]Consiglio_Week'!$B:$B"),INDIRECT("'[storico profut.xlsm]Consiglio_Week'!$P:$P")),"")</f>
        <v/>
      </c>
      <c r="AL79" s="21" t="str" cm="1">
        <f t="array" aca="1" ref="AL79" ca="1">IFERROR(
  _xlfn.XLOOKUP(
    $B79,
    INDIRECT("'[storico profut.xlsm]Consiglio_Week'!B:B"),
    OFFSET( INDIRECT("'[storico profut.xlsm]Consiglio_Week'!$R:$R"), 0, COLUMNS($A:A)-1 )
  ),
  ""
)</f>
        <v/>
      </c>
      <c r="AM79" s="21" t="str" cm="1">
        <f t="array" aca="1" ref="AM79" ca="1">IFERROR(
  _xlfn.XLOOKUP(
    $B79,
    INDIRECT("'[storico profut.xlsm]Consiglio_Week'!B:B"),
    OFFSET( INDIRECT("'[storico profut.xlsm]Consiglio_Week'!$R:$R"), 0, COLUMNS($A:B)-1 )
  ),
  ""
)</f>
        <v/>
      </c>
      <c r="AN79" s="21" t="str" cm="1">
        <f t="array" aca="1" ref="AN79" ca="1">IFERROR(
  _xlfn.XLOOKUP(
    $B79,
    INDIRECT("'[storico profut.xlsm]Consiglio_Week'!B:B"),
    OFFSET( INDIRECT("'[storico profut.xlsm]Consiglio_Week'!$R:$R"), 0, COLUMNS($A:C)-1 )
  ),
  ""
)</f>
        <v/>
      </c>
      <c r="AO79" s="21" t="str" cm="1">
        <f t="array" aca="1" ref="AO79" ca="1">IFERROR(
  _xlfn.XLOOKUP(
    $B79,
    INDIRECT("'[storico profut.xlsm]Consiglio_Week'!B:B"),
    OFFSET( INDIRECT("'[storico profut.xlsm]Consiglio_Week'!$R:$R"), 0, COLUMNS($A:D)-1 )
  ),
  ""
)</f>
        <v/>
      </c>
      <c r="AP79" s="21" t="str" cm="1">
        <f t="array" aca="1" ref="AP79" ca="1">IFERROR(
  _xlfn.XLOOKUP(
    $B79,
    INDIRECT("'[storico profut.xlsm]Consiglio_Week'!B:B"),
    OFFSET( INDIRECT("'[storico profut.xlsm]Consiglio_Week'!$R:$R"), 0, COLUMNS($A:E)-1 )
  ),
  ""
)</f>
        <v/>
      </c>
      <c r="AQ79" s="22" t="str" cm="1">
        <f t="array" aca="1" ref="AQ79" ca="1">IFERROR(
  _xlfn.XLOOKUP(
    $B79,
    INDIRECT("'[storico profut.xlsm]Consiglio_Week'!B:B"),
    OFFSET( INDIRECT("'[storico profut.xlsm]Consiglio_Week'!$R:$R"), 0, COLUMNS($A:F)-1 )
  ),
  ""
)</f>
        <v/>
      </c>
      <c r="AR79" s="21" t="str" cm="1">
        <f t="array" aca="1" ref="AR79" ca="1">IFERROR(
  _xlfn.XLOOKUP(
    $B79,
    INDIRECT("'[storico profut.xlsm]Consiglio_Week'!B:B"),
    OFFSET( INDIRECT("'[storico profut.xlsm]Consiglio_Week'!$R:$R"), 0, COLUMNS($A:G)-1 )
  ),
  ""
)</f>
        <v/>
      </c>
      <c r="AS79" s="21" t="str" cm="1">
        <f t="array" aca="1" ref="AS79" ca="1">IFERROR(
  _xlfn.XLOOKUP(
    $B79,
    INDIRECT("'[storico profut.xlsm]Consiglio_Week'!B:B"),
    OFFSET( INDIRECT("'[storico profut.xlsm]Consiglio_Week'!$R:$R"), 0, COLUMNS($A:H)-1 )
  ),
  ""
)</f>
        <v/>
      </c>
      <c r="AT79" s="21" t="str" cm="1">
        <f t="array" aca="1" ref="AT79" ca="1">IFERROR(
  _xlfn.XLOOKUP(
    $B79,
    INDIRECT("'[storico profut.xlsm]Consiglio_Week'!B:B"),
    OFFSET( INDIRECT("'[storico profut.xlsm]Consiglio_Week'!$R:$R"), 0, COLUMNS($A:I)-1 )
  ),
  ""
)</f>
        <v/>
      </c>
      <c r="AU79" s="22" t="str" cm="1">
        <f t="array" aca="1" ref="AU79" ca="1">IFERROR(
  _xlfn.XLOOKUP(
    $B79,
    INDIRECT("'[storico profut.xlsm]Consiglio_Week'!B:B"),
    OFFSET( INDIRECT("'[storico profut.xlsm]Consiglio_Week'!$R:$R"), 0, COLUMNS($A:J)-1 )
  ),
  ""
)</f>
        <v/>
      </c>
      <c r="AV79" s="22" t="str" cm="1">
        <f t="array" aca="1" ref="AV79" ca="1">IFERROR(
  _xlfn.XLOOKUP(
    $B79,
    INDIRECT("'[storico profut.xlsm]Consiglio_Week'!B:B"),
    OFFSET( INDIRECT("'[storico profut.xlsm]Consiglio_Week'!$R:$R"), 0, COLUMNS($A:K)-1 )
  ),
  ""
)</f>
        <v/>
      </c>
      <c r="AW79" s="22" t="str" cm="1">
        <f t="array" aca="1" ref="AW79" ca="1">IFERROR(
  _xlfn.XLOOKUP(
    $B79,
    INDIRECT("'[storico profut.xlsm]Consiglio_Week'!B:B"),
    OFFSET( INDIRECT("'[storico profut.xlsm]Consiglio_Week'!$R:$R"), 0, COLUMNS($A:L)-1 )
  ),
  ""
)</f>
        <v/>
      </c>
      <c r="AX79" s="26" t="str" cm="1">
        <f t="array" aca="1" ref="AX79" ca="1">IFERROR(
  _xlfn.XLOOKUP(
    $B79,
    INDIRECT("'[storico profut.xlsm]Consiglio_Week'!B:B"),
    OFFSET( INDIRECT("'[storico profut.xlsm]Consiglio_Week'!$R:$R"), 0, COLUMNS($A:M)-1 )
  ),
  ""
)</f>
        <v/>
      </c>
      <c r="AY79" s="22">
        <v>0</v>
      </c>
    </row>
    <row r="80" spans="1:51">
      <c r="A80" t="s">
        <v>605</v>
      </c>
      <c r="B80" t="s">
        <v>581</v>
      </c>
      <c r="C80">
        <v>20</v>
      </c>
      <c r="D80">
        <v>2</v>
      </c>
      <c r="E80" s="6">
        <v>0.375</v>
      </c>
      <c r="F80" s="6">
        <v>0.625</v>
      </c>
      <c r="G80" t="s">
        <v>640</v>
      </c>
      <c r="H80" t="s">
        <v>640</v>
      </c>
      <c r="Q80" t="s">
        <v>468</v>
      </c>
      <c r="R80">
        <v>1</v>
      </c>
      <c r="S80" t="s">
        <v>607</v>
      </c>
      <c r="AH80" t="str" cm="1">
        <f t="array" aca="1" ref="AH80" ca="1">+IFERROR(_xlfn.XLOOKUP($B80,INDIRECT("'[storico profut.xlsm]Consiglio_Week'!$B:$B"),INDIRECT("'[storico profut.xlsm]Consiglio_Week'!$I:$I")),"")</f>
        <v/>
      </c>
      <c r="AI80" t="str" cm="1">
        <f t="array" aca="1" ref="AI80" ca="1">+IFERROR(_xlfn.XLOOKUP($B80,INDIRECT("'[storico profut.xlsm]Consiglio_Week'!$B:$B"),INDIRECT("'[storico profut.xlsm]Consiglio_Week'!$L:$L")),"")</f>
        <v/>
      </c>
      <c r="AJ80" t="str" cm="1">
        <f t="array" aca="1" ref="AJ80" ca="1">+IFERROR(_xlfn.XLOOKUP($B80,INDIRECT("'[storico profut.xlsm]Consiglio_Week'!$B:$B"),INDIRECT("'[storico profut.xlsm]Consiglio_Week'!$M:$M")),"")</f>
        <v/>
      </c>
      <c r="AK80" t="str" cm="1">
        <f t="array" aca="1" ref="AK80" ca="1">+IFERROR(_xlfn.XLOOKUP($B80,INDIRECT("'[storico profut.xlsm]Consiglio_Week'!$B:$B"),INDIRECT("'[storico profut.xlsm]Consiglio_Week'!$P:$P")),"")</f>
        <v/>
      </c>
      <c r="AL80" s="21" t="str" cm="1">
        <f t="array" aca="1" ref="AL80" ca="1">IFERROR(
  _xlfn.XLOOKUP(
    $B80,
    INDIRECT("'[storico profut.xlsm]Consiglio_Week'!B:B"),
    OFFSET( INDIRECT("'[storico profut.xlsm]Consiglio_Week'!$R:$R"), 0, COLUMNS($A:A)-1 )
  ),
  ""
)</f>
        <v/>
      </c>
      <c r="AM80" s="21" t="str" cm="1">
        <f t="array" aca="1" ref="AM80" ca="1">IFERROR(
  _xlfn.XLOOKUP(
    $B80,
    INDIRECT("'[storico profut.xlsm]Consiglio_Week'!B:B"),
    OFFSET( INDIRECT("'[storico profut.xlsm]Consiglio_Week'!$R:$R"), 0, COLUMNS($A:B)-1 )
  ),
  ""
)</f>
        <v/>
      </c>
      <c r="AN80" s="21" t="str" cm="1">
        <f t="array" aca="1" ref="AN80" ca="1">IFERROR(
  _xlfn.XLOOKUP(
    $B80,
    INDIRECT("'[storico profut.xlsm]Consiglio_Week'!B:B"),
    OFFSET( INDIRECT("'[storico profut.xlsm]Consiglio_Week'!$R:$R"), 0, COLUMNS($A:C)-1 )
  ),
  ""
)</f>
        <v/>
      </c>
      <c r="AO80" s="21" t="str" cm="1">
        <f t="array" aca="1" ref="AO80" ca="1">IFERROR(
  _xlfn.XLOOKUP(
    $B80,
    INDIRECT("'[storico profut.xlsm]Consiglio_Week'!B:B"),
    OFFSET( INDIRECT("'[storico profut.xlsm]Consiglio_Week'!$R:$R"), 0, COLUMNS($A:D)-1 )
  ),
  ""
)</f>
        <v/>
      </c>
      <c r="AP80" s="21" t="str" cm="1">
        <f t="array" aca="1" ref="AP80" ca="1">IFERROR(
  _xlfn.XLOOKUP(
    $B80,
    INDIRECT("'[storico profut.xlsm]Consiglio_Week'!B:B"),
    OFFSET( INDIRECT("'[storico profut.xlsm]Consiglio_Week'!$R:$R"), 0, COLUMNS($A:E)-1 )
  ),
  ""
)</f>
        <v/>
      </c>
      <c r="AQ80" s="22" t="str" cm="1">
        <f t="array" aca="1" ref="AQ80" ca="1">IFERROR(
  _xlfn.XLOOKUP(
    $B80,
    INDIRECT("'[storico profut.xlsm]Consiglio_Week'!B:B"),
    OFFSET( INDIRECT("'[storico profut.xlsm]Consiglio_Week'!$R:$R"), 0, COLUMNS($A:F)-1 )
  ),
  ""
)</f>
        <v/>
      </c>
      <c r="AR80" s="21" t="str" cm="1">
        <f t="array" aca="1" ref="AR80" ca="1">IFERROR(
  _xlfn.XLOOKUP(
    $B80,
    INDIRECT("'[storico profut.xlsm]Consiglio_Week'!B:B"),
    OFFSET( INDIRECT("'[storico profut.xlsm]Consiglio_Week'!$R:$R"), 0, COLUMNS($A:G)-1 )
  ),
  ""
)</f>
        <v/>
      </c>
      <c r="AS80" s="21" t="str" cm="1">
        <f t="array" aca="1" ref="AS80" ca="1">IFERROR(
  _xlfn.XLOOKUP(
    $B80,
    INDIRECT("'[storico profut.xlsm]Consiglio_Week'!B:B"),
    OFFSET( INDIRECT("'[storico profut.xlsm]Consiglio_Week'!$R:$R"), 0, COLUMNS($A:H)-1 )
  ),
  ""
)</f>
        <v/>
      </c>
      <c r="AT80" s="21" t="str" cm="1">
        <f t="array" aca="1" ref="AT80" ca="1">IFERROR(
  _xlfn.XLOOKUP(
    $B80,
    INDIRECT("'[storico profut.xlsm]Consiglio_Week'!B:B"),
    OFFSET( INDIRECT("'[storico profut.xlsm]Consiglio_Week'!$R:$R"), 0, COLUMNS($A:I)-1 )
  ),
  ""
)</f>
        <v/>
      </c>
      <c r="AU80" s="22" t="str" cm="1">
        <f t="array" aca="1" ref="AU80" ca="1">IFERROR(
  _xlfn.XLOOKUP(
    $B80,
    INDIRECT("'[storico profut.xlsm]Consiglio_Week'!B:B"),
    OFFSET( INDIRECT("'[storico profut.xlsm]Consiglio_Week'!$R:$R"), 0, COLUMNS($A:J)-1 )
  ),
  ""
)</f>
        <v/>
      </c>
      <c r="AV80" s="22" t="str" cm="1">
        <f t="array" aca="1" ref="AV80" ca="1">IFERROR(
  _xlfn.XLOOKUP(
    $B80,
    INDIRECT("'[storico profut.xlsm]Consiglio_Week'!B:B"),
    OFFSET( INDIRECT("'[storico profut.xlsm]Consiglio_Week'!$R:$R"), 0, COLUMNS($A:K)-1 )
  ),
  ""
)</f>
        <v/>
      </c>
      <c r="AW80" s="22" t="str" cm="1">
        <f t="array" aca="1" ref="AW80" ca="1">IFERROR(
  _xlfn.XLOOKUP(
    $B80,
    INDIRECT("'[storico profut.xlsm]Consiglio_Week'!B:B"),
    OFFSET( INDIRECT("'[storico profut.xlsm]Consiglio_Week'!$R:$R"), 0, COLUMNS($A:L)-1 )
  ),
  ""
)</f>
        <v/>
      </c>
      <c r="AX80" s="26" t="str" cm="1">
        <f t="array" aca="1" ref="AX80" ca="1">IFERROR(
  _xlfn.XLOOKUP(
    $B80,
    INDIRECT("'[storico profut.xlsm]Consiglio_Week'!B:B"),
    OFFSET( INDIRECT("'[storico profut.xlsm]Consiglio_Week'!$R:$R"), 0, COLUMNS($A:M)-1 )
  ),
  ""
)</f>
        <v/>
      </c>
      <c r="AY80" s="22">
        <v>0</v>
      </c>
    </row>
    <row r="81" spans="17:51">
      <c r="AY81" s="22">
        <v>0</v>
      </c>
    </row>
    <row r="82" spans="17:51">
      <c r="AY82" s="22">
        <v>0</v>
      </c>
    </row>
    <row r="83" spans="17:51">
      <c r="AY83" s="22">
        <v>0</v>
      </c>
    </row>
    <row r="90" spans="17:51">
      <c r="Q90">
        <f>12.61+1.5</f>
        <v>14.11</v>
      </c>
    </row>
  </sheetData>
  <autoFilter ref="A1:AY83" xr:uid="{BAB51232-DE35-4AFA-A353-AF5CBD54AEA2}"/>
  <phoneticPr fontId="4" type="noConversion"/>
  <conditionalFormatting sqref="A2:A87">
    <cfRule type="duplicateValues" dxfId="7" priority="33"/>
  </conditionalFormatting>
  <conditionalFormatting sqref="B2:B17">
    <cfRule type="duplicateValues" dxfId="6" priority="20"/>
  </conditionalFormatting>
  <conditionalFormatting sqref="B18:B39">
    <cfRule type="duplicateValues" dxfId="5" priority="35"/>
  </conditionalFormatting>
  <conditionalFormatting sqref="B43:B66">
    <cfRule type="duplicateValues" dxfId="4" priority="32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75AC-CDC7-4613-BB62-04C6414C59F1}">
  <sheetPr codeName="Foglio4"/>
  <dimension ref="A1:AU81"/>
  <sheetViews>
    <sheetView topLeftCell="A34" zoomScale="85" zoomScaleNormal="85" workbookViewId="0">
      <selection activeCell="AP80" sqref="AP80"/>
    </sheetView>
  </sheetViews>
  <sheetFormatPr defaultRowHeight="15"/>
  <cols>
    <col min="1" max="1" width="19.5703125" bestFit="1" customWidth="1"/>
    <col min="4" max="25" width="0" hidden="1" customWidth="1"/>
    <col min="26" max="26" width="9" hidden="1" customWidth="1"/>
    <col min="27" max="31" width="0" hidden="1" customWidth="1"/>
    <col min="42" max="42" width="9.28515625" customWidth="1"/>
  </cols>
  <sheetData>
    <row r="1" spans="1:47">
      <c r="D1" s="31">
        <v>39</v>
      </c>
      <c r="E1" s="31"/>
      <c r="F1" s="31">
        <v>40</v>
      </c>
      <c r="G1" s="31"/>
      <c r="H1" s="31">
        <v>41</v>
      </c>
      <c r="I1" s="31"/>
      <c r="J1" s="31">
        <v>42</v>
      </c>
      <c r="K1" s="31"/>
      <c r="L1" s="31">
        <v>43</v>
      </c>
      <c r="M1" s="31"/>
      <c r="N1" s="31">
        <v>44</v>
      </c>
      <c r="O1" s="31"/>
      <c r="P1" s="31">
        <f>+N1+1</f>
        <v>45</v>
      </c>
      <c r="Q1" s="31"/>
      <c r="R1" s="31">
        <f>+P1+1</f>
        <v>46</v>
      </c>
      <c r="S1" s="31"/>
      <c r="T1" s="31">
        <f>+R1+1</f>
        <v>47</v>
      </c>
      <c r="U1" s="31"/>
      <c r="V1" s="31">
        <f>+T1+1</f>
        <v>48</v>
      </c>
      <c r="W1" s="31"/>
      <c r="X1" s="31">
        <f>+V1+1</f>
        <v>49</v>
      </c>
      <c r="Y1" s="31"/>
      <c r="Z1" s="32">
        <v>51</v>
      </c>
      <c r="AA1" s="32"/>
      <c r="AB1" s="31">
        <f>+Z1+1</f>
        <v>52</v>
      </c>
      <c r="AC1" s="31"/>
      <c r="AD1" s="31">
        <v>1</v>
      </c>
      <c r="AE1" s="31"/>
      <c r="AF1" s="31">
        <v>3</v>
      </c>
      <c r="AG1" s="31"/>
      <c r="AH1" s="31">
        <f>+AF1+1</f>
        <v>4</v>
      </c>
      <c r="AI1" s="31"/>
      <c r="AJ1" s="31">
        <f>+AH1+1</f>
        <v>5</v>
      </c>
      <c r="AK1" s="31"/>
      <c r="AL1" s="31">
        <f>+AJ1+1</f>
        <v>6</v>
      </c>
      <c r="AM1" s="31"/>
      <c r="AN1" s="31">
        <f>+AL1+1</f>
        <v>7</v>
      </c>
      <c r="AO1" s="31"/>
      <c r="AP1" s="31">
        <f>+AN1+1</f>
        <v>8</v>
      </c>
      <c r="AQ1" s="31"/>
      <c r="AR1" s="31">
        <f>+AP1+1</f>
        <v>9</v>
      </c>
      <c r="AS1" s="31"/>
      <c r="AT1" s="31">
        <f>+AR1+1</f>
        <v>10</v>
      </c>
      <c r="AU1" s="31"/>
    </row>
    <row r="2" spans="1:47">
      <c r="A2" t="s">
        <v>224</v>
      </c>
      <c r="B2" t="s">
        <v>223</v>
      </c>
      <c r="C2" t="s">
        <v>222</v>
      </c>
      <c r="D2" s="6" t="s">
        <v>225</v>
      </c>
      <c r="E2" s="6" t="s">
        <v>226</v>
      </c>
      <c r="F2" s="6" t="s">
        <v>225</v>
      </c>
      <c r="G2" s="6" t="s">
        <v>226</v>
      </c>
      <c r="H2" s="6" t="s">
        <v>225</v>
      </c>
      <c r="I2" s="6" t="s">
        <v>226</v>
      </c>
      <c r="J2" s="6" t="s">
        <v>225</v>
      </c>
      <c r="K2" s="6" t="s">
        <v>226</v>
      </c>
      <c r="L2" s="6" t="s">
        <v>225</v>
      </c>
      <c r="M2" s="6" t="s">
        <v>226</v>
      </c>
      <c r="N2" s="6" t="s">
        <v>225</v>
      </c>
      <c r="O2" s="6" t="s">
        <v>226</v>
      </c>
      <c r="P2" s="6" t="s">
        <v>225</v>
      </c>
      <c r="Q2" s="6" t="s">
        <v>226</v>
      </c>
      <c r="R2" s="6" t="s">
        <v>225</v>
      </c>
      <c r="S2" s="6" t="s">
        <v>226</v>
      </c>
      <c r="T2" s="6" t="s">
        <v>225</v>
      </c>
      <c r="U2" s="6" t="s">
        <v>226</v>
      </c>
      <c r="V2" s="6" t="s">
        <v>225</v>
      </c>
      <c r="W2" s="6" t="s">
        <v>226</v>
      </c>
      <c r="X2" s="6" t="s">
        <v>225</v>
      </c>
      <c r="Y2" s="6" t="s">
        <v>226</v>
      </c>
      <c r="Z2" s="6" t="s">
        <v>225</v>
      </c>
      <c r="AA2" s="6" t="s">
        <v>226</v>
      </c>
      <c r="AB2" s="6" t="s">
        <v>225</v>
      </c>
      <c r="AC2" s="6" t="s">
        <v>226</v>
      </c>
      <c r="AD2" s="6" t="s">
        <v>225</v>
      </c>
      <c r="AE2" s="6" t="s">
        <v>226</v>
      </c>
      <c r="AF2" s="6" t="s">
        <v>225</v>
      </c>
      <c r="AG2" s="6" t="s">
        <v>226</v>
      </c>
      <c r="AH2" s="6" t="s">
        <v>225</v>
      </c>
      <c r="AI2" s="6" t="s">
        <v>226</v>
      </c>
      <c r="AJ2" s="6" t="s">
        <v>225</v>
      </c>
      <c r="AK2" s="6" t="s">
        <v>226</v>
      </c>
      <c r="AL2" s="6" t="s">
        <v>225</v>
      </c>
      <c r="AM2" s="6" t="s">
        <v>226</v>
      </c>
      <c r="AN2" s="6" t="s">
        <v>225</v>
      </c>
      <c r="AO2" s="6" t="s">
        <v>226</v>
      </c>
      <c r="AP2" s="6" t="s">
        <v>225</v>
      </c>
      <c r="AQ2" s="6" t="s">
        <v>226</v>
      </c>
      <c r="AR2" s="6" t="s">
        <v>225</v>
      </c>
      <c r="AS2" s="6" t="s">
        <v>226</v>
      </c>
      <c r="AT2" s="6" t="s">
        <v>225</v>
      </c>
      <c r="AU2" s="6" t="s">
        <v>226</v>
      </c>
    </row>
    <row r="3" spans="1:47">
      <c r="A3" t="s">
        <v>575</v>
      </c>
      <c r="B3">
        <v>4</v>
      </c>
      <c r="C3">
        <v>2</v>
      </c>
      <c r="D3" s="6">
        <v>0.375</v>
      </c>
      <c r="E3" s="6">
        <v>0.625</v>
      </c>
      <c r="F3" s="6">
        <f>+IF(D3*24=9,15/24,9/24)</f>
        <v>0.625</v>
      </c>
      <c r="G3" s="6">
        <f>+IF(D3*24=9,21/24,15/24)</f>
        <v>0.875</v>
      </c>
      <c r="H3" s="6">
        <f>+IF(F3*24=9,15/24,9/24)</f>
        <v>0.375</v>
      </c>
      <c r="I3" s="6">
        <f>+IF(F3*24=9,21/24,15/24)</f>
        <v>0.625</v>
      </c>
      <c r="J3" s="6">
        <f>+IF(H3*24=9,15/24,9/24)</f>
        <v>0.625</v>
      </c>
      <c r="K3" s="6">
        <f>+IF(H3*24=9,21/24,15/24)</f>
        <v>0.875</v>
      </c>
      <c r="L3" s="6">
        <f>+IF(J3*24=9,15/24,9/24)</f>
        <v>0.375</v>
      </c>
      <c r="M3" s="6">
        <f>+IF(J3*24=9,21/24,15/24)</f>
        <v>0.625</v>
      </c>
      <c r="N3" s="6">
        <f>+IF(L3*24=9,15/24,9/24)</f>
        <v>0.625</v>
      </c>
      <c r="O3" s="6">
        <f>+IF(L3*24=9,21/24,15/24)</f>
        <v>0.875</v>
      </c>
      <c r="P3" s="6">
        <f>+IF(N3*24=9,15/24,9/24)</f>
        <v>0.375</v>
      </c>
      <c r="Q3" s="6">
        <f>+IF(N3*24=9,21/24,15/24)</f>
        <v>0.625</v>
      </c>
      <c r="R3" s="6">
        <f>+IF(P3*24=9,15/24,9/24)</f>
        <v>0.625</v>
      </c>
      <c r="S3" s="6">
        <f>+IF(P3*24=9,21/24,15/24)</f>
        <v>0.875</v>
      </c>
      <c r="T3" s="6">
        <f>+IF(R3*24=9,15/24,9/24)</f>
        <v>0.375</v>
      </c>
      <c r="U3" s="6">
        <f>+IF(R3*24=9,21/24,15/24)</f>
        <v>0.625</v>
      </c>
      <c r="V3" s="6">
        <f>+IF(T3*24=9,15/24,9/24)</f>
        <v>0.625</v>
      </c>
      <c r="W3" s="6">
        <f>+IF(T3*24=9,21/24,15/24)</f>
        <v>0.875</v>
      </c>
      <c r="X3" s="6">
        <f>+IF(V3*24=9,15/24,9/24)</f>
        <v>0.375</v>
      </c>
      <c r="Y3" s="6">
        <f>+IF(V3*24=9,21/24,15/24)</f>
        <v>0.625</v>
      </c>
      <c r="Z3" s="6">
        <f>+IF(X3*24=9,15/24,9/24)</f>
        <v>0.625</v>
      </c>
      <c r="AA3" s="6">
        <f>+IF(X3*24=9,21/24,15/24)</f>
        <v>0.875</v>
      </c>
      <c r="AB3" s="6">
        <f>+IF(Z3*24=9,15/24,9/24)</f>
        <v>0.375</v>
      </c>
      <c r="AC3" s="6">
        <f>+IF(Z3*24=9,21/24,15/24)</f>
        <v>0.625</v>
      </c>
      <c r="AD3" s="6">
        <f>+IF(AB3*24=9,15/24,9/24)</f>
        <v>0.625</v>
      </c>
      <c r="AE3" s="6">
        <f>+IF(AB3*24=9,21/24,15/24)</f>
        <v>0.875</v>
      </c>
      <c r="AF3" s="6">
        <v>0.375</v>
      </c>
      <c r="AG3" s="6">
        <v>0.625</v>
      </c>
      <c r="AH3" s="6">
        <f>+IF(AF3*24=9,15/24,9/24)</f>
        <v>0.625</v>
      </c>
      <c r="AI3" s="6">
        <f>+IF(AF3*24=9,21/24,15/24)</f>
        <v>0.875</v>
      </c>
      <c r="AJ3" s="6">
        <f>+IF(AH3*24=9,15/24,9/24)</f>
        <v>0.375</v>
      </c>
      <c r="AK3" s="6">
        <f>+IF(AH3*24=9,21/24,15/24)</f>
        <v>0.625</v>
      </c>
      <c r="AL3" s="6">
        <f>+IF(AJ3*24=9,15/24,9/24)</f>
        <v>0.625</v>
      </c>
      <c r="AM3" s="6">
        <f>+IF(AJ3*24=9,21/24,15/24)</f>
        <v>0.875</v>
      </c>
      <c r="AN3" s="6">
        <f>+IF(AL3*24=9,15/24,9/24)</f>
        <v>0.375</v>
      </c>
      <c r="AO3" s="6">
        <f>+IF(AL3*24=9,21/24,15/24)</f>
        <v>0.625</v>
      </c>
      <c r="AP3" s="6">
        <f>+IF(AN3*24=9,15/24,9/24)</f>
        <v>0.625</v>
      </c>
      <c r="AQ3" s="6">
        <f>+IF(AN3*24=9,21/24,15/24)</f>
        <v>0.875</v>
      </c>
      <c r="AR3" s="6">
        <f>+IF(AP3*24=9,15/24,9/24)</f>
        <v>0.375</v>
      </c>
      <c r="AS3" s="6">
        <f>+IF(AP3*24=9,21/24,15/24)</f>
        <v>0.625</v>
      </c>
      <c r="AT3" s="6">
        <f>+IF(AR3*24=9,15/24,9/24)</f>
        <v>0.625</v>
      </c>
      <c r="AU3" s="6">
        <f>+IF(AR3*24=9,21/24,15/24)</f>
        <v>0.875</v>
      </c>
    </row>
    <row r="4" spans="1:47">
      <c r="A4" t="s">
        <v>576</v>
      </c>
      <c r="B4">
        <v>4</v>
      </c>
      <c r="C4">
        <v>2</v>
      </c>
      <c r="D4" s="6">
        <v>0.375</v>
      </c>
      <c r="E4" s="6">
        <v>0.625</v>
      </c>
      <c r="F4" s="6">
        <f t="shared" ref="F4:F18" si="0">+IF(D4*24=9,15/24,9/24)</f>
        <v>0.625</v>
      </c>
      <c r="G4" s="6">
        <f t="shared" ref="G4:G18" si="1">+IF(D4*24=9,21/24,15/24)</f>
        <v>0.875</v>
      </c>
      <c r="H4" s="6">
        <f t="shared" ref="H4:H18" si="2">+IF(F4*24=9,15/24,9/24)</f>
        <v>0.375</v>
      </c>
      <c r="I4" s="6">
        <f t="shared" ref="I4:I18" si="3">+IF(F4*24=9,21/24,15/24)</f>
        <v>0.625</v>
      </c>
      <c r="J4" s="6">
        <f t="shared" ref="J4:J11" si="4">+IF(H4*24=9,15/24,9/24)</f>
        <v>0.625</v>
      </c>
      <c r="K4" s="6">
        <f t="shared" ref="K4:K11" si="5">+IF(H4*24=9,21/24,15/24)</f>
        <v>0.875</v>
      </c>
      <c r="L4" s="6">
        <f t="shared" ref="L4:L11" si="6">+IF(J4*24=9,15/24,9/24)</f>
        <v>0.375</v>
      </c>
      <c r="M4" s="6">
        <f t="shared" ref="M4:M11" si="7">+IF(J4*24=9,21/24,15/24)</f>
        <v>0.625</v>
      </c>
      <c r="N4" s="6">
        <f t="shared" ref="N4:N11" si="8">+IF(L4*24=9,15/24,9/24)</f>
        <v>0.625</v>
      </c>
      <c r="O4" s="6">
        <f t="shared" ref="O4:O11" si="9">+IF(L4*24=9,21/24,15/24)</f>
        <v>0.875</v>
      </c>
      <c r="P4" s="6">
        <f t="shared" ref="P4:P11" si="10">+IF(N4*24=9,15/24,9/24)</f>
        <v>0.375</v>
      </c>
      <c r="Q4" s="6">
        <f t="shared" ref="Q4:Q11" si="11">+IF(N4*24=9,21/24,15/24)</f>
        <v>0.625</v>
      </c>
      <c r="R4" s="6">
        <f t="shared" ref="R4:R11" si="12">+IF(P4*24=9,15/24,9/24)</f>
        <v>0.625</v>
      </c>
      <c r="S4" s="6">
        <f t="shared" ref="S4:S11" si="13">+IF(P4*24=9,21/24,15/24)</f>
        <v>0.875</v>
      </c>
      <c r="T4" s="6">
        <f t="shared" ref="T4:T11" si="14">+IF(R4*24=9,15/24,9/24)</f>
        <v>0.375</v>
      </c>
      <c r="U4" s="6">
        <f t="shared" ref="U4:U11" si="15">+IF(R4*24=9,21/24,15/24)</f>
        <v>0.625</v>
      </c>
      <c r="V4" s="6">
        <f t="shared" ref="V4:V11" si="16">+IF(T4*24=9,15/24,9/24)</f>
        <v>0.625</v>
      </c>
      <c r="W4" s="6">
        <f t="shared" ref="W4:W11" si="17">+IF(T4*24=9,21/24,15/24)</f>
        <v>0.875</v>
      </c>
      <c r="X4" s="6">
        <f t="shared" ref="X4:X11" si="18">+IF(V4*24=9,15/24,9/24)</f>
        <v>0.375</v>
      </c>
      <c r="Y4" s="6">
        <f t="shared" ref="Y4:Y11" si="19">+IF(V4*24=9,21/24,15/24)</f>
        <v>0.625</v>
      </c>
      <c r="Z4" s="6">
        <f t="shared" ref="Z4:Z11" si="20">+IF(X4*24=9,15/24,9/24)</f>
        <v>0.625</v>
      </c>
      <c r="AA4" s="6">
        <f t="shared" ref="AA4:AA11" si="21">+IF(X4*24=9,21/24,15/24)</f>
        <v>0.875</v>
      </c>
      <c r="AB4" s="6">
        <f t="shared" ref="AB4:AB6" si="22">+IF(Z4*24=9,15/24,9/24)</f>
        <v>0.375</v>
      </c>
      <c r="AC4" s="6">
        <f t="shared" ref="AC4:AC6" si="23">+IF(Z4*24=9,21/24,15/24)</f>
        <v>0.625</v>
      </c>
      <c r="AD4" s="6">
        <f t="shared" ref="AD4:AD6" si="24">+IF(AB4*24=9,15/24,9/24)</f>
        <v>0.625</v>
      </c>
      <c r="AE4" s="6">
        <f t="shared" ref="AE4:AE6" si="25">+IF(AB4*24=9,21/24,15/24)</f>
        <v>0.875</v>
      </c>
      <c r="AF4" s="6">
        <v>0.375</v>
      </c>
      <c r="AG4" s="6">
        <v>0.625</v>
      </c>
      <c r="AH4" s="6">
        <f>+IF(AF4*24=9,15/24,9/24)</f>
        <v>0.625</v>
      </c>
      <c r="AI4" s="6">
        <f>+IF(AF4*24=9,21/24,15/24)</f>
        <v>0.875</v>
      </c>
      <c r="AJ4" s="6">
        <f>+IF(AH4*24=9,15/24,9/24)</f>
        <v>0.375</v>
      </c>
      <c r="AK4" s="6">
        <f>+IF(AH4*24=9,21/24,15/24)</f>
        <v>0.625</v>
      </c>
      <c r="AL4" s="6">
        <f>+IF(AJ4*24=9,15/24,9/24)</f>
        <v>0.625</v>
      </c>
      <c r="AM4" s="6">
        <f>+IF(AJ4*24=9,21/24,15/24)</f>
        <v>0.875</v>
      </c>
      <c r="AN4" s="6">
        <f>+IF(AL4*24=9,15/24,9/24)</f>
        <v>0.375</v>
      </c>
      <c r="AO4" s="6">
        <f>+IF(AL4*24=9,21/24,15/24)</f>
        <v>0.625</v>
      </c>
      <c r="AP4" s="6">
        <f>+IF(AN4*24=9,15/24,9/24)</f>
        <v>0.625</v>
      </c>
      <c r="AQ4" s="6">
        <f>+IF(AN4*24=9,21/24,15/24)</f>
        <v>0.875</v>
      </c>
      <c r="AR4" s="6">
        <f>+IF(AP4*24=9,15/24,9/24)</f>
        <v>0.375</v>
      </c>
      <c r="AS4" s="6">
        <f>+IF(AP4*24=9,21/24,15/24)</f>
        <v>0.625</v>
      </c>
      <c r="AT4" s="6">
        <f>+IF(AR4*24=9,15/24,9/24)</f>
        <v>0.625</v>
      </c>
      <c r="AU4" s="6">
        <f>+IF(AR4*24=9,21/24,15/24)</f>
        <v>0.875</v>
      </c>
    </row>
    <row r="5" spans="1:47">
      <c r="A5" t="s">
        <v>577</v>
      </c>
      <c r="B5">
        <v>4</v>
      </c>
      <c r="C5">
        <v>2</v>
      </c>
      <c r="D5" s="6">
        <v>0.625</v>
      </c>
      <c r="E5" s="6">
        <v>0.875</v>
      </c>
      <c r="F5" s="6">
        <f t="shared" si="0"/>
        <v>0.375</v>
      </c>
      <c r="G5" s="6">
        <f t="shared" si="1"/>
        <v>0.625</v>
      </c>
      <c r="H5" s="6">
        <f t="shared" si="2"/>
        <v>0.625</v>
      </c>
      <c r="I5" s="6">
        <f t="shared" si="3"/>
        <v>0.875</v>
      </c>
      <c r="J5" s="6">
        <f t="shared" si="4"/>
        <v>0.375</v>
      </c>
      <c r="K5" s="6">
        <f t="shared" si="5"/>
        <v>0.625</v>
      </c>
      <c r="L5" s="6">
        <f t="shared" si="6"/>
        <v>0.625</v>
      </c>
      <c r="M5" s="6">
        <f t="shared" si="7"/>
        <v>0.875</v>
      </c>
      <c r="N5" s="6">
        <f t="shared" si="8"/>
        <v>0.375</v>
      </c>
      <c r="O5" s="6">
        <f t="shared" si="9"/>
        <v>0.625</v>
      </c>
      <c r="P5" s="6">
        <f t="shared" si="10"/>
        <v>0.625</v>
      </c>
      <c r="Q5" s="6">
        <f t="shared" si="11"/>
        <v>0.875</v>
      </c>
      <c r="R5" s="6">
        <f t="shared" si="12"/>
        <v>0.375</v>
      </c>
      <c r="S5" s="6">
        <f t="shared" si="13"/>
        <v>0.625</v>
      </c>
      <c r="T5" s="6">
        <f t="shared" si="14"/>
        <v>0.625</v>
      </c>
      <c r="U5" s="6">
        <f t="shared" si="15"/>
        <v>0.875</v>
      </c>
      <c r="V5" s="6">
        <f t="shared" si="16"/>
        <v>0.375</v>
      </c>
      <c r="W5" s="6">
        <f t="shared" si="17"/>
        <v>0.625</v>
      </c>
      <c r="X5" s="6">
        <f t="shared" si="18"/>
        <v>0.625</v>
      </c>
      <c r="Y5" s="6">
        <f t="shared" si="19"/>
        <v>0.875</v>
      </c>
      <c r="Z5" s="6">
        <f t="shared" si="20"/>
        <v>0.375</v>
      </c>
      <c r="AA5" s="6">
        <f t="shared" si="21"/>
        <v>0.625</v>
      </c>
      <c r="AB5" s="6">
        <f t="shared" si="22"/>
        <v>0.625</v>
      </c>
      <c r="AC5" s="6">
        <f t="shared" si="23"/>
        <v>0.875</v>
      </c>
      <c r="AD5" s="6">
        <f t="shared" si="24"/>
        <v>0.375</v>
      </c>
      <c r="AE5" s="6">
        <f t="shared" si="25"/>
        <v>0.625</v>
      </c>
      <c r="AF5" s="6">
        <v>0.625</v>
      </c>
      <c r="AG5" s="6">
        <v>0.875</v>
      </c>
      <c r="AH5" s="6">
        <f>+IF(AF5*24=9,15/24,9/24)</f>
        <v>0.375</v>
      </c>
      <c r="AI5" s="6">
        <f>+IF(AF5*24=9,21/24,15/24)</f>
        <v>0.625</v>
      </c>
      <c r="AJ5" s="6">
        <f>+IF(AH5*24=9,15/24,9/24)</f>
        <v>0.625</v>
      </c>
      <c r="AK5" s="6">
        <f>+IF(AH5*24=9,21/24,15/24)</f>
        <v>0.875</v>
      </c>
      <c r="AL5" s="6">
        <f>+IF(AJ5*24=9,15/24,9/24)</f>
        <v>0.375</v>
      </c>
      <c r="AM5" s="6">
        <f>+IF(AJ5*24=9,21/24,15/24)</f>
        <v>0.625</v>
      </c>
      <c r="AN5" s="6">
        <f>+IF(AL5*24=9,15/24,9/24)</f>
        <v>0.625</v>
      </c>
      <c r="AO5" s="6">
        <f>+IF(AL5*24=9,21/24,15/24)</f>
        <v>0.875</v>
      </c>
      <c r="AP5" s="6">
        <f>+IF(AN5*24=9,15/24,9/24)</f>
        <v>0.375</v>
      </c>
      <c r="AQ5" s="6">
        <f>+IF(AN5*24=9,21/24,15/24)</f>
        <v>0.625</v>
      </c>
      <c r="AR5" s="6">
        <f>+IF(AP5*24=9,15/24,9/24)</f>
        <v>0.625</v>
      </c>
      <c r="AS5" s="6">
        <f>+IF(AP5*24=9,21/24,15/24)</f>
        <v>0.875</v>
      </c>
      <c r="AT5" s="6">
        <f>+IF(AR5*24=9,15/24,9/24)</f>
        <v>0.375</v>
      </c>
      <c r="AU5" s="6">
        <f>+IF(AR5*24=9,21/24,15/24)</f>
        <v>0.625</v>
      </c>
    </row>
    <row r="6" spans="1:47">
      <c r="A6" t="s">
        <v>578</v>
      </c>
      <c r="B6">
        <v>4</v>
      </c>
      <c r="C6">
        <v>2</v>
      </c>
      <c r="D6" s="6">
        <v>0.625</v>
      </c>
      <c r="E6" s="6">
        <v>0.875</v>
      </c>
      <c r="F6" s="6">
        <f t="shared" si="0"/>
        <v>0.375</v>
      </c>
      <c r="G6" s="6">
        <f t="shared" si="1"/>
        <v>0.625</v>
      </c>
      <c r="H6" s="6">
        <f t="shared" si="2"/>
        <v>0.625</v>
      </c>
      <c r="I6" s="6">
        <f t="shared" si="3"/>
        <v>0.875</v>
      </c>
      <c r="J6" s="6">
        <f t="shared" si="4"/>
        <v>0.375</v>
      </c>
      <c r="K6" s="6">
        <f t="shared" si="5"/>
        <v>0.625</v>
      </c>
      <c r="L6" s="6">
        <f t="shared" si="6"/>
        <v>0.625</v>
      </c>
      <c r="M6" s="6">
        <f t="shared" si="7"/>
        <v>0.875</v>
      </c>
      <c r="N6" s="6">
        <f t="shared" si="8"/>
        <v>0.375</v>
      </c>
      <c r="O6" s="6">
        <f t="shared" si="9"/>
        <v>0.625</v>
      </c>
      <c r="P6" s="6">
        <f t="shared" si="10"/>
        <v>0.625</v>
      </c>
      <c r="Q6" s="6">
        <f t="shared" si="11"/>
        <v>0.875</v>
      </c>
      <c r="R6" s="6">
        <f t="shared" si="12"/>
        <v>0.375</v>
      </c>
      <c r="S6" s="6">
        <f t="shared" si="13"/>
        <v>0.625</v>
      </c>
      <c r="T6" s="6">
        <f t="shared" si="14"/>
        <v>0.625</v>
      </c>
      <c r="U6" s="6">
        <f t="shared" si="15"/>
        <v>0.875</v>
      </c>
      <c r="V6" s="6">
        <f t="shared" si="16"/>
        <v>0.375</v>
      </c>
      <c r="W6" s="6">
        <f t="shared" si="17"/>
        <v>0.625</v>
      </c>
      <c r="X6" s="6">
        <f t="shared" si="18"/>
        <v>0.625</v>
      </c>
      <c r="Y6" s="6">
        <f t="shared" si="19"/>
        <v>0.875</v>
      </c>
      <c r="Z6" s="6">
        <f t="shared" si="20"/>
        <v>0.375</v>
      </c>
      <c r="AA6" s="6">
        <f t="shared" si="21"/>
        <v>0.625</v>
      </c>
      <c r="AB6" s="6">
        <f t="shared" si="22"/>
        <v>0.625</v>
      </c>
      <c r="AC6" s="6">
        <f t="shared" si="23"/>
        <v>0.875</v>
      </c>
      <c r="AD6" s="6">
        <f t="shared" si="24"/>
        <v>0.375</v>
      </c>
      <c r="AE6" s="6">
        <f t="shared" si="25"/>
        <v>0.625</v>
      </c>
      <c r="AF6" s="6">
        <v>0.625</v>
      </c>
      <c r="AG6" s="6">
        <v>0.875</v>
      </c>
      <c r="AH6" s="6">
        <f>+IF(AF6*24=9,15/24,9/24)</f>
        <v>0.375</v>
      </c>
      <c r="AI6" s="6">
        <f>+IF(AF6*24=9,21/24,15/24)</f>
        <v>0.625</v>
      </c>
      <c r="AJ6" s="6">
        <f>+IF(AH6*24=9,15/24,9/24)</f>
        <v>0.625</v>
      </c>
      <c r="AK6" s="6">
        <f>+IF(AH6*24=9,21/24,15/24)</f>
        <v>0.875</v>
      </c>
      <c r="AL6" s="6">
        <f>+IF(AJ6*24=9,15/24,9/24)</f>
        <v>0.375</v>
      </c>
      <c r="AM6" s="6">
        <f>+IF(AJ6*24=9,21/24,15/24)</f>
        <v>0.625</v>
      </c>
      <c r="AN6" s="6">
        <f>+IF(AL6*24=9,15/24,9/24)</f>
        <v>0.625</v>
      </c>
      <c r="AO6" s="6">
        <f>+IF(AL6*24=9,21/24,15/24)</f>
        <v>0.875</v>
      </c>
      <c r="AP6" s="6">
        <f>+IF(AN6*24=9,15/24,9/24)</f>
        <v>0.375</v>
      </c>
      <c r="AQ6" s="6">
        <f>+IF(AN6*24=9,21/24,15/24)</f>
        <v>0.625</v>
      </c>
      <c r="AR6" s="6">
        <f>+IF(AP6*24=9,15/24,9/24)</f>
        <v>0.625</v>
      </c>
      <c r="AS6" s="6">
        <f>+IF(AP6*24=9,21/24,15/24)</f>
        <v>0.875</v>
      </c>
      <c r="AT6" s="6">
        <f>+IF(AR6*24=9,15/24,9/24)</f>
        <v>0.375</v>
      </c>
      <c r="AU6" s="6">
        <f>+IF(AR6*24=9,21/24,15/24)</f>
        <v>0.625</v>
      </c>
    </row>
    <row r="7" spans="1:47">
      <c r="A7" t="s">
        <v>579</v>
      </c>
      <c r="B7">
        <v>4</v>
      </c>
      <c r="C7">
        <v>2</v>
      </c>
      <c r="D7" s="6">
        <v>0.375</v>
      </c>
      <c r="E7" s="6">
        <v>0.625</v>
      </c>
      <c r="F7" s="6">
        <f t="shared" si="0"/>
        <v>0.625</v>
      </c>
      <c r="G7" s="6">
        <f t="shared" si="1"/>
        <v>0.875</v>
      </c>
      <c r="H7" s="6">
        <f t="shared" si="2"/>
        <v>0.375</v>
      </c>
      <c r="I7" s="6">
        <f t="shared" si="3"/>
        <v>0.625</v>
      </c>
      <c r="J7" s="6">
        <f t="shared" si="4"/>
        <v>0.625</v>
      </c>
      <c r="K7" s="6">
        <f t="shared" si="5"/>
        <v>0.875</v>
      </c>
      <c r="L7" s="6">
        <f t="shared" si="6"/>
        <v>0.375</v>
      </c>
      <c r="M7" s="6">
        <f t="shared" si="7"/>
        <v>0.625</v>
      </c>
      <c r="N7" s="6">
        <f t="shared" si="8"/>
        <v>0.625</v>
      </c>
      <c r="O7" s="6">
        <f t="shared" si="9"/>
        <v>0.875</v>
      </c>
      <c r="P7" s="6">
        <f t="shared" si="10"/>
        <v>0.375</v>
      </c>
      <c r="Q7" s="6">
        <f t="shared" si="11"/>
        <v>0.625</v>
      </c>
      <c r="R7" s="6">
        <f t="shared" si="12"/>
        <v>0.625</v>
      </c>
      <c r="S7" s="6">
        <f t="shared" si="13"/>
        <v>0.875</v>
      </c>
      <c r="T7" s="6">
        <f t="shared" si="14"/>
        <v>0.375</v>
      </c>
      <c r="U7" s="6">
        <f t="shared" si="15"/>
        <v>0.625</v>
      </c>
      <c r="V7" s="6">
        <f t="shared" si="16"/>
        <v>0.625</v>
      </c>
      <c r="W7" s="6">
        <f t="shared" si="17"/>
        <v>0.875</v>
      </c>
      <c r="X7" s="6">
        <f t="shared" si="18"/>
        <v>0.375</v>
      </c>
      <c r="Y7" s="6">
        <f t="shared" si="19"/>
        <v>0.625</v>
      </c>
      <c r="Z7" s="16">
        <v>0.375</v>
      </c>
      <c r="AA7" s="16">
        <v>0.54166666666666663</v>
      </c>
      <c r="AB7" s="16">
        <v>0.375</v>
      </c>
      <c r="AC7" s="16">
        <v>0.54166666666666663</v>
      </c>
      <c r="AD7" s="16">
        <v>0.375</v>
      </c>
      <c r="AE7" s="16">
        <v>0.54166666666666663</v>
      </c>
      <c r="AF7" s="6">
        <v>0.625</v>
      </c>
      <c r="AG7" s="6">
        <v>0.875</v>
      </c>
      <c r="AH7" s="6">
        <f>+IF(AF7*24=9,15/24,9/24)</f>
        <v>0.375</v>
      </c>
      <c r="AI7" s="6">
        <f>+IF(AF7*24=9,21/24,15/24)</f>
        <v>0.625</v>
      </c>
      <c r="AJ7" s="6">
        <f>+IF(AH7*24=9,15/24,9/24)</f>
        <v>0.625</v>
      </c>
      <c r="AK7" s="6">
        <f>+IF(AH7*24=9,21/24,15/24)</f>
        <v>0.875</v>
      </c>
      <c r="AL7" s="6">
        <f>+IF(AJ7*24=9,15/24,9/24)</f>
        <v>0.375</v>
      </c>
      <c r="AM7" s="6">
        <f>+IF(AJ7*24=9,21/24,15/24)</f>
        <v>0.625</v>
      </c>
      <c r="AN7" s="6">
        <f>+IF(AL7*24=9,15/24,9/24)</f>
        <v>0.625</v>
      </c>
      <c r="AO7" s="6">
        <f>+IF(AL7*24=9,21/24,15/24)</f>
        <v>0.875</v>
      </c>
      <c r="AP7" s="6">
        <f>+IF(AN7*24=9,15/24,9/24)</f>
        <v>0.375</v>
      </c>
      <c r="AQ7" s="6">
        <f>+IF(AN7*24=9,21/24,15/24)</f>
        <v>0.625</v>
      </c>
      <c r="AR7" s="6">
        <f>+IF(AP7*24=9,15/24,9/24)</f>
        <v>0.625</v>
      </c>
      <c r="AS7" s="6">
        <f>+IF(AP7*24=9,21/24,15/24)</f>
        <v>0.875</v>
      </c>
      <c r="AT7" s="6">
        <f>+IF(AR7*24=9,15/24,9/24)</f>
        <v>0.375</v>
      </c>
      <c r="AU7" s="6">
        <f>+IF(AR7*24=9,21/24,15/24)</f>
        <v>0.625</v>
      </c>
    </row>
    <row r="8" spans="1:47">
      <c r="A8" t="s">
        <v>580</v>
      </c>
      <c r="B8">
        <v>4</v>
      </c>
      <c r="C8">
        <v>2</v>
      </c>
      <c r="D8" s="6">
        <v>0.625</v>
      </c>
      <c r="E8" s="6">
        <v>0.875</v>
      </c>
      <c r="F8" s="6">
        <f t="shared" si="0"/>
        <v>0.375</v>
      </c>
      <c r="G8" s="6">
        <f t="shared" si="1"/>
        <v>0.625</v>
      </c>
      <c r="H8" s="6">
        <f t="shared" si="2"/>
        <v>0.625</v>
      </c>
      <c r="I8" s="6">
        <f t="shared" si="3"/>
        <v>0.875</v>
      </c>
      <c r="J8" s="6">
        <f t="shared" si="4"/>
        <v>0.375</v>
      </c>
      <c r="K8" s="6">
        <f t="shared" si="5"/>
        <v>0.625</v>
      </c>
      <c r="L8" s="6">
        <f t="shared" si="6"/>
        <v>0.625</v>
      </c>
      <c r="M8" s="6">
        <f t="shared" si="7"/>
        <v>0.875</v>
      </c>
      <c r="N8" s="6">
        <f t="shared" si="8"/>
        <v>0.375</v>
      </c>
      <c r="O8" s="6">
        <f t="shared" si="9"/>
        <v>0.625</v>
      </c>
      <c r="P8" s="6">
        <f t="shared" si="10"/>
        <v>0.625</v>
      </c>
      <c r="Q8" s="6">
        <f t="shared" si="11"/>
        <v>0.875</v>
      </c>
      <c r="R8" s="6">
        <f t="shared" si="12"/>
        <v>0.375</v>
      </c>
      <c r="S8" s="6">
        <f t="shared" si="13"/>
        <v>0.625</v>
      </c>
      <c r="T8" s="6">
        <f t="shared" si="14"/>
        <v>0.625</v>
      </c>
      <c r="U8" s="6">
        <f t="shared" si="15"/>
        <v>0.875</v>
      </c>
      <c r="V8" s="6">
        <f t="shared" si="16"/>
        <v>0.375</v>
      </c>
      <c r="W8" s="6">
        <f t="shared" si="17"/>
        <v>0.625</v>
      </c>
      <c r="X8" s="6">
        <f t="shared" si="18"/>
        <v>0.625</v>
      </c>
      <c r="Y8" s="6">
        <f t="shared" si="19"/>
        <v>0.875</v>
      </c>
      <c r="Z8" s="6">
        <f t="shared" si="20"/>
        <v>0.375</v>
      </c>
      <c r="AA8" s="6">
        <f t="shared" si="21"/>
        <v>0.625</v>
      </c>
      <c r="AB8" s="6">
        <f t="shared" ref="AB8:AB11" si="26">+IF(Z8*24=9,15/24,9/24)</f>
        <v>0.625</v>
      </c>
      <c r="AC8" s="6">
        <f t="shared" ref="AC8:AC11" si="27">+IF(Z8*24=9,21/24,15/24)</f>
        <v>0.875</v>
      </c>
      <c r="AD8" s="6">
        <f t="shared" ref="AD8:AD11" si="28">+IF(AB8*24=9,15/24,9/24)</f>
        <v>0.375</v>
      </c>
      <c r="AE8" s="6">
        <f t="shared" ref="AE8:AE11" si="29">+IF(AB8*24=9,21/24,15/24)</f>
        <v>0.625</v>
      </c>
      <c r="AF8" s="16">
        <v>0.66666666666666663</v>
      </c>
      <c r="AG8" s="16">
        <v>0.83333333333333337</v>
      </c>
      <c r="AH8" s="16">
        <v>0.66666666666666663</v>
      </c>
      <c r="AI8" s="16">
        <v>0.83333333333333337</v>
      </c>
      <c r="AJ8" s="16">
        <v>0.66666666666666663</v>
      </c>
      <c r="AK8" s="16">
        <v>0.83333333333333337</v>
      </c>
      <c r="AL8" s="16">
        <v>0.66666666666666663</v>
      </c>
      <c r="AM8" s="16">
        <v>0.83333333333333337</v>
      </c>
      <c r="AN8" s="16">
        <v>0.66666666666666663</v>
      </c>
      <c r="AO8" s="16">
        <v>0.83333333333333337</v>
      </c>
      <c r="AP8" s="16">
        <v>0.66666666666666663</v>
      </c>
      <c r="AQ8" s="16">
        <v>0.83333333333333337</v>
      </c>
      <c r="AR8" s="16">
        <v>0.66666666666666663</v>
      </c>
      <c r="AS8" s="16">
        <v>0.83333333333333337</v>
      </c>
      <c r="AT8" s="16">
        <v>0.66666666666666663</v>
      </c>
      <c r="AU8" s="16">
        <v>0.83333333333333337</v>
      </c>
    </row>
    <row r="9" spans="1:47">
      <c r="A9" t="s">
        <v>581</v>
      </c>
      <c r="B9">
        <v>4</v>
      </c>
      <c r="C9">
        <v>2</v>
      </c>
      <c r="D9" s="6">
        <v>0.625</v>
      </c>
      <c r="E9" s="6">
        <v>0.875</v>
      </c>
      <c r="F9" s="6">
        <f t="shared" si="0"/>
        <v>0.375</v>
      </c>
      <c r="G9" s="6">
        <f t="shared" si="1"/>
        <v>0.625</v>
      </c>
      <c r="H9" s="6">
        <f t="shared" si="2"/>
        <v>0.625</v>
      </c>
      <c r="I9" s="6">
        <f t="shared" si="3"/>
        <v>0.875</v>
      </c>
      <c r="J9" s="6">
        <f t="shared" si="4"/>
        <v>0.375</v>
      </c>
      <c r="K9" s="6">
        <f t="shared" si="5"/>
        <v>0.625</v>
      </c>
      <c r="L9" s="6">
        <f t="shared" si="6"/>
        <v>0.625</v>
      </c>
      <c r="M9" s="6">
        <f t="shared" si="7"/>
        <v>0.875</v>
      </c>
      <c r="N9" s="6">
        <f t="shared" si="8"/>
        <v>0.375</v>
      </c>
      <c r="O9" s="6">
        <f t="shared" si="9"/>
        <v>0.625</v>
      </c>
      <c r="P9" s="6">
        <f t="shared" si="10"/>
        <v>0.625</v>
      </c>
      <c r="Q9" s="6">
        <f t="shared" si="11"/>
        <v>0.875</v>
      </c>
      <c r="R9" s="6">
        <f t="shared" si="12"/>
        <v>0.375</v>
      </c>
      <c r="S9" s="6">
        <f t="shared" si="13"/>
        <v>0.625</v>
      </c>
      <c r="T9" s="6">
        <f t="shared" si="14"/>
        <v>0.625</v>
      </c>
      <c r="U9" s="6">
        <f t="shared" si="15"/>
        <v>0.875</v>
      </c>
      <c r="V9" s="6">
        <f t="shared" si="16"/>
        <v>0.375</v>
      </c>
      <c r="W9" s="6">
        <f t="shared" si="17"/>
        <v>0.625</v>
      </c>
      <c r="X9" s="6">
        <f t="shared" si="18"/>
        <v>0.625</v>
      </c>
      <c r="Y9" s="6">
        <f t="shared" si="19"/>
        <v>0.875</v>
      </c>
      <c r="Z9" s="6">
        <f t="shared" si="20"/>
        <v>0.375</v>
      </c>
      <c r="AA9" s="6">
        <f t="shared" si="21"/>
        <v>0.625</v>
      </c>
      <c r="AB9" s="6">
        <f t="shared" si="26"/>
        <v>0.625</v>
      </c>
      <c r="AC9" s="6">
        <f t="shared" si="27"/>
        <v>0.875</v>
      </c>
      <c r="AD9" s="6">
        <f t="shared" si="28"/>
        <v>0.375</v>
      </c>
      <c r="AE9" s="6">
        <f t="shared" si="29"/>
        <v>0.625</v>
      </c>
      <c r="AF9" s="6">
        <v>0.375</v>
      </c>
      <c r="AG9" s="6">
        <v>0.625</v>
      </c>
      <c r="AH9" s="6">
        <f t="shared" ref="AH9:AH16" si="30">+IF(AF9*24=9,15/24,9/24)</f>
        <v>0.625</v>
      </c>
      <c r="AI9" s="6">
        <f t="shared" ref="AI9:AI16" si="31">+IF(AF9*24=9,21/24,15/24)</f>
        <v>0.875</v>
      </c>
      <c r="AJ9" s="6">
        <f t="shared" ref="AJ9:AJ16" si="32">+IF(AH9*24=9,15/24,9/24)</f>
        <v>0.375</v>
      </c>
      <c r="AK9" s="6">
        <f t="shared" ref="AK9:AK16" si="33">+IF(AH9*24=9,21/24,15/24)</f>
        <v>0.625</v>
      </c>
      <c r="AL9" s="6">
        <f t="shared" ref="AL9:AL16" si="34">+IF(AJ9*24=9,15/24,9/24)</f>
        <v>0.625</v>
      </c>
      <c r="AM9" s="6">
        <f t="shared" ref="AM9:AM16" si="35">+IF(AJ9*24=9,21/24,15/24)</f>
        <v>0.875</v>
      </c>
      <c r="AN9" s="6">
        <f t="shared" ref="AN9:AN16" si="36">+IF(AL9*24=9,15/24,9/24)</f>
        <v>0.375</v>
      </c>
      <c r="AO9" s="6">
        <f t="shared" ref="AO9:AO16" si="37">+IF(AL9*24=9,21/24,15/24)</f>
        <v>0.625</v>
      </c>
      <c r="AP9" s="6">
        <f t="shared" ref="AP9:AP16" si="38">+IF(AN9*24=9,15/24,9/24)</f>
        <v>0.625</v>
      </c>
      <c r="AQ9" s="6">
        <f t="shared" ref="AQ9:AQ16" si="39">+IF(AN9*24=9,21/24,15/24)</f>
        <v>0.875</v>
      </c>
      <c r="AR9" s="6">
        <f t="shared" ref="AR9:AR16" si="40">+IF(AP9*24=9,15/24,9/24)</f>
        <v>0.375</v>
      </c>
      <c r="AS9" s="6">
        <f t="shared" ref="AS9:AS16" si="41">+IF(AP9*24=9,21/24,15/24)</f>
        <v>0.625</v>
      </c>
      <c r="AT9" s="6">
        <f t="shared" ref="AT9:AT11" si="42">+IF(AR9*24=9,15/24,9/24)</f>
        <v>0.625</v>
      </c>
      <c r="AU9" s="6">
        <f t="shared" ref="AU9:AU11" si="43">+IF(AR9*24=9,21/24,15/24)</f>
        <v>0.875</v>
      </c>
    </row>
    <row r="10" spans="1:47">
      <c r="A10" t="s">
        <v>582</v>
      </c>
      <c r="B10">
        <v>4</v>
      </c>
      <c r="C10">
        <v>2</v>
      </c>
      <c r="D10" s="6">
        <v>0.375</v>
      </c>
      <c r="E10" s="6">
        <v>0.625</v>
      </c>
      <c r="F10" s="6">
        <f t="shared" si="0"/>
        <v>0.625</v>
      </c>
      <c r="G10" s="6">
        <f t="shared" si="1"/>
        <v>0.875</v>
      </c>
      <c r="H10" s="6">
        <f t="shared" si="2"/>
        <v>0.375</v>
      </c>
      <c r="I10" s="6">
        <f t="shared" si="3"/>
        <v>0.625</v>
      </c>
      <c r="J10" s="6">
        <f t="shared" si="4"/>
        <v>0.625</v>
      </c>
      <c r="K10" s="6">
        <f t="shared" si="5"/>
        <v>0.875</v>
      </c>
      <c r="L10" s="6">
        <f t="shared" si="6"/>
        <v>0.375</v>
      </c>
      <c r="M10" s="6">
        <f t="shared" si="7"/>
        <v>0.625</v>
      </c>
      <c r="N10" s="6">
        <f t="shared" si="8"/>
        <v>0.625</v>
      </c>
      <c r="O10" s="6">
        <f t="shared" si="9"/>
        <v>0.875</v>
      </c>
      <c r="P10" s="6">
        <f t="shared" si="10"/>
        <v>0.375</v>
      </c>
      <c r="Q10" s="6">
        <f t="shared" si="11"/>
        <v>0.625</v>
      </c>
      <c r="R10" s="6">
        <f t="shared" si="12"/>
        <v>0.625</v>
      </c>
      <c r="S10" s="6">
        <f t="shared" si="13"/>
        <v>0.875</v>
      </c>
      <c r="T10" s="6">
        <f t="shared" si="14"/>
        <v>0.375</v>
      </c>
      <c r="U10" s="6">
        <f t="shared" si="15"/>
        <v>0.625</v>
      </c>
      <c r="V10" s="6">
        <f t="shared" si="16"/>
        <v>0.625</v>
      </c>
      <c r="W10" s="6">
        <f t="shared" si="17"/>
        <v>0.875</v>
      </c>
      <c r="X10" s="6">
        <f t="shared" si="18"/>
        <v>0.375</v>
      </c>
      <c r="Y10" s="6">
        <f t="shared" si="19"/>
        <v>0.625</v>
      </c>
      <c r="Z10" s="6">
        <f t="shared" si="20"/>
        <v>0.625</v>
      </c>
      <c r="AA10" s="6">
        <f t="shared" si="21"/>
        <v>0.875</v>
      </c>
      <c r="AB10" s="6">
        <f t="shared" si="26"/>
        <v>0.375</v>
      </c>
      <c r="AC10" s="6">
        <f t="shared" si="27"/>
        <v>0.625</v>
      </c>
      <c r="AD10" s="6">
        <f t="shared" si="28"/>
        <v>0.625</v>
      </c>
      <c r="AE10" s="6">
        <f t="shared" si="29"/>
        <v>0.875</v>
      </c>
      <c r="AF10" s="6">
        <v>0.625</v>
      </c>
      <c r="AG10" s="6">
        <v>0.875</v>
      </c>
      <c r="AH10" s="6">
        <f t="shared" si="30"/>
        <v>0.375</v>
      </c>
      <c r="AI10" s="6">
        <f t="shared" si="31"/>
        <v>0.625</v>
      </c>
      <c r="AJ10" s="6">
        <f t="shared" si="32"/>
        <v>0.625</v>
      </c>
      <c r="AK10" s="6">
        <f t="shared" si="33"/>
        <v>0.875</v>
      </c>
      <c r="AL10" s="6">
        <f t="shared" si="34"/>
        <v>0.375</v>
      </c>
      <c r="AM10" s="6">
        <f t="shared" si="35"/>
        <v>0.625</v>
      </c>
      <c r="AN10" s="6">
        <f t="shared" si="36"/>
        <v>0.625</v>
      </c>
      <c r="AO10" s="6">
        <f t="shared" si="37"/>
        <v>0.875</v>
      </c>
      <c r="AP10" s="6">
        <f t="shared" si="38"/>
        <v>0.375</v>
      </c>
      <c r="AQ10" s="6">
        <f t="shared" si="39"/>
        <v>0.625</v>
      </c>
      <c r="AR10" s="6">
        <f t="shared" si="40"/>
        <v>0.625</v>
      </c>
      <c r="AS10" s="6">
        <f t="shared" si="41"/>
        <v>0.875</v>
      </c>
      <c r="AT10" s="6">
        <f t="shared" si="42"/>
        <v>0.375</v>
      </c>
      <c r="AU10" s="6">
        <f t="shared" si="43"/>
        <v>0.625</v>
      </c>
    </row>
    <row r="11" spans="1:47">
      <c r="A11" t="s">
        <v>583</v>
      </c>
      <c r="B11">
        <v>4</v>
      </c>
      <c r="C11">
        <v>2</v>
      </c>
      <c r="D11" s="6">
        <v>0.375</v>
      </c>
      <c r="E11" s="6">
        <v>0.625</v>
      </c>
      <c r="F11" s="6">
        <f t="shared" si="0"/>
        <v>0.625</v>
      </c>
      <c r="G11" s="6">
        <f t="shared" si="1"/>
        <v>0.875</v>
      </c>
      <c r="H11" s="6">
        <f t="shared" si="2"/>
        <v>0.375</v>
      </c>
      <c r="I11" s="6">
        <f t="shared" si="3"/>
        <v>0.625</v>
      </c>
      <c r="J11" s="6">
        <f t="shared" si="4"/>
        <v>0.625</v>
      </c>
      <c r="K11" s="6">
        <f t="shared" si="5"/>
        <v>0.875</v>
      </c>
      <c r="L11" s="6">
        <f t="shared" si="6"/>
        <v>0.375</v>
      </c>
      <c r="M11" s="6">
        <f t="shared" si="7"/>
        <v>0.625</v>
      </c>
      <c r="N11" s="6">
        <f t="shared" si="8"/>
        <v>0.625</v>
      </c>
      <c r="O11" s="6">
        <f t="shared" si="9"/>
        <v>0.875</v>
      </c>
      <c r="P11" s="6">
        <f t="shared" si="10"/>
        <v>0.375</v>
      </c>
      <c r="Q11" s="6">
        <f t="shared" si="11"/>
        <v>0.625</v>
      </c>
      <c r="R11" s="6">
        <f t="shared" si="12"/>
        <v>0.625</v>
      </c>
      <c r="S11" s="6">
        <f t="shared" si="13"/>
        <v>0.875</v>
      </c>
      <c r="T11" s="6">
        <f t="shared" si="14"/>
        <v>0.375</v>
      </c>
      <c r="U11" s="6">
        <f t="shared" si="15"/>
        <v>0.625</v>
      </c>
      <c r="V11" s="6">
        <f t="shared" si="16"/>
        <v>0.625</v>
      </c>
      <c r="W11" s="6">
        <f t="shared" si="17"/>
        <v>0.875</v>
      </c>
      <c r="X11" s="6">
        <f t="shared" si="18"/>
        <v>0.375</v>
      </c>
      <c r="Y11" s="6">
        <f t="shared" si="19"/>
        <v>0.625</v>
      </c>
      <c r="Z11" s="6">
        <f t="shared" si="20"/>
        <v>0.625</v>
      </c>
      <c r="AA11" s="6">
        <f t="shared" si="21"/>
        <v>0.875</v>
      </c>
      <c r="AB11" s="6">
        <f t="shared" si="26"/>
        <v>0.375</v>
      </c>
      <c r="AC11" s="6">
        <f t="shared" si="27"/>
        <v>0.625</v>
      </c>
      <c r="AD11" s="6">
        <f t="shared" si="28"/>
        <v>0.625</v>
      </c>
      <c r="AE11" s="6">
        <f t="shared" si="29"/>
        <v>0.875</v>
      </c>
      <c r="AF11" s="6">
        <v>0.375</v>
      </c>
      <c r="AG11" s="6">
        <v>0.625</v>
      </c>
      <c r="AH11" s="6">
        <f t="shared" si="30"/>
        <v>0.625</v>
      </c>
      <c r="AI11" s="6">
        <f t="shared" si="31"/>
        <v>0.875</v>
      </c>
      <c r="AJ11" s="6">
        <f t="shared" si="32"/>
        <v>0.375</v>
      </c>
      <c r="AK11" s="6">
        <f t="shared" si="33"/>
        <v>0.625</v>
      </c>
      <c r="AL11" s="6">
        <f t="shared" si="34"/>
        <v>0.625</v>
      </c>
      <c r="AM11" s="6">
        <f t="shared" si="35"/>
        <v>0.875</v>
      </c>
      <c r="AN11" s="6">
        <f t="shared" si="36"/>
        <v>0.375</v>
      </c>
      <c r="AO11" s="6">
        <f t="shared" si="37"/>
        <v>0.625</v>
      </c>
      <c r="AP11" s="6">
        <f t="shared" si="38"/>
        <v>0.625</v>
      </c>
      <c r="AQ11" s="6">
        <f t="shared" si="39"/>
        <v>0.875</v>
      </c>
      <c r="AR11" s="6">
        <f t="shared" si="40"/>
        <v>0.375</v>
      </c>
      <c r="AS11" s="6">
        <f t="shared" si="41"/>
        <v>0.625</v>
      </c>
      <c r="AT11" s="6">
        <f t="shared" si="42"/>
        <v>0.625</v>
      </c>
      <c r="AU11" s="6">
        <f t="shared" si="43"/>
        <v>0.875</v>
      </c>
    </row>
    <row r="12" spans="1:47">
      <c r="A12" t="s">
        <v>584</v>
      </c>
      <c r="B12">
        <v>4</v>
      </c>
      <c r="C12">
        <v>2</v>
      </c>
      <c r="D12" s="6">
        <v>0.375</v>
      </c>
      <c r="E12" s="6">
        <v>0.54166666666666663</v>
      </c>
      <c r="F12" s="6">
        <f t="shared" si="0"/>
        <v>0.625</v>
      </c>
      <c r="G12" s="6">
        <f t="shared" si="1"/>
        <v>0.875</v>
      </c>
      <c r="H12" s="16">
        <v>0.375</v>
      </c>
      <c r="I12" s="16">
        <v>0.54166666666666663</v>
      </c>
      <c r="J12" s="16">
        <v>0.375</v>
      </c>
      <c r="K12" s="16">
        <v>0.54166666666666663</v>
      </c>
      <c r="L12" s="16">
        <v>0.375</v>
      </c>
      <c r="M12" s="16">
        <v>0.54166666666666663</v>
      </c>
      <c r="N12" s="16">
        <v>0.375</v>
      </c>
      <c r="O12" s="16">
        <v>0.54166666666666663</v>
      </c>
      <c r="P12" s="16">
        <v>0.375</v>
      </c>
      <c r="Q12" s="16">
        <v>0.54166666666666663</v>
      </c>
      <c r="R12" s="16">
        <v>0.375</v>
      </c>
      <c r="S12" s="16">
        <v>0.54166666666666663</v>
      </c>
      <c r="T12" s="16">
        <v>0.375</v>
      </c>
      <c r="U12" s="16">
        <v>0.54166666666666663</v>
      </c>
      <c r="V12" s="16">
        <v>0.375</v>
      </c>
      <c r="W12" s="16">
        <v>0.54166666666666663</v>
      </c>
      <c r="X12" s="16">
        <v>0.375</v>
      </c>
      <c r="Y12" s="16">
        <v>0.54166666666666663</v>
      </c>
      <c r="Z12" s="16">
        <v>0.375</v>
      </c>
      <c r="AA12" s="16">
        <v>0.54166666666666663</v>
      </c>
      <c r="AB12" s="16">
        <v>0.375</v>
      </c>
      <c r="AC12" s="16">
        <v>0.54166666666666663</v>
      </c>
      <c r="AD12" s="16">
        <v>0.375</v>
      </c>
      <c r="AE12" s="16">
        <v>0.54166666666666663</v>
      </c>
      <c r="AF12" s="6">
        <v>0.375</v>
      </c>
      <c r="AG12" s="6">
        <v>0.625</v>
      </c>
      <c r="AH12" s="6">
        <f t="shared" si="30"/>
        <v>0.625</v>
      </c>
      <c r="AI12" s="6">
        <f t="shared" si="31"/>
        <v>0.875</v>
      </c>
      <c r="AJ12" s="6">
        <f t="shared" si="32"/>
        <v>0.375</v>
      </c>
      <c r="AK12" s="6">
        <f t="shared" si="33"/>
        <v>0.625</v>
      </c>
      <c r="AL12" s="6">
        <v>0.625</v>
      </c>
      <c r="AM12" s="6">
        <v>0.79166666666666663</v>
      </c>
      <c r="AN12" s="6">
        <v>0.58333333333333337</v>
      </c>
      <c r="AO12" s="6">
        <v>0.75</v>
      </c>
      <c r="AP12" s="6">
        <v>0.60416666666666663</v>
      </c>
      <c r="AQ12" s="6">
        <v>0.77083333333333337</v>
      </c>
      <c r="AR12" s="16">
        <f>+AL12</f>
        <v>0.625</v>
      </c>
      <c r="AS12" s="16">
        <f>+AM12</f>
        <v>0.79166666666666663</v>
      </c>
      <c r="AT12" s="16">
        <f>+AN12</f>
        <v>0.58333333333333337</v>
      </c>
      <c r="AU12" s="16">
        <f>+AO12</f>
        <v>0.75</v>
      </c>
    </row>
    <row r="13" spans="1:47">
      <c r="A13" t="s">
        <v>585</v>
      </c>
      <c r="B13">
        <v>4</v>
      </c>
      <c r="C13">
        <v>2</v>
      </c>
      <c r="D13" s="6">
        <v>0.625</v>
      </c>
      <c r="E13" s="6">
        <v>0.875</v>
      </c>
      <c r="F13" s="6">
        <f t="shared" si="0"/>
        <v>0.375</v>
      </c>
      <c r="G13" s="6">
        <f t="shared" si="1"/>
        <v>0.625</v>
      </c>
      <c r="H13" s="6">
        <f t="shared" si="2"/>
        <v>0.625</v>
      </c>
      <c r="I13" s="6">
        <f t="shared" si="3"/>
        <v>0.875</v>
      </c>
      <c r="J13" s="6">
        <f t="shared" ref="J13:J18" si="44">+IF(H13*24=9,15/24,9/24)</f>
        <v>0.375</v>
      </c>
      <c r="K13" s="6">
        <f t="shared" ref="K13:K18" si="45">+IF(H13*24=9,21/24,15/24)</f>
        <v>0.625</v>
      </c>
      <c r="L13" s="6">
        <f t="shared" ref="L13:L18" si="46">+IF(J13*24=9,15/24,9/24)</f>
        <v>0.625</v>
      </c>
      <c r="M13" s="6">
        <f t="shared" ref="M13:M18" si="47">+IF(J13*24=9,21/24,15/24)</f>
        <v>0.875</v>
      </c>
      <c r="N13" s="6">
        <f t="shared" ref="N13:N18" si="48">+IF(L13*24=9,15/24,9/24)</f>
        <v>0.375</v>
      </c>
      <c r="O13" s="6">
        <f t="shared" ref="O13:O18" si="49">+IF(L13*24=9,21/24,15/24)</f>
        <v>0.625</v>
      </c>
      <c r="P13" s="6">
        <f t="shared" ref="P13:P18" si="50">+IF(N13*24=9,15/24,9/24)</f>
        <v>0.625</v>
      </c>
      <c r="Q13" s="6">
        <f t="shared" ref="Q13:Q18" si="51">+IF(N13*24=9,21/24,15/24)</f>
        <v>0.875</v>
      </c>
      <c r="R13" s="6">
        <f t="shared" ref="R13:R18" si="52">+IF(P13*24=9,15/24,9/24)</f>
        <v>0.375</v>
      </c>
      <c r="S13" s="6">
        <f t="shared" ref="S13:S18" si="53">+IF(P13*24=9,21/24,15/24)</f>
        <v>0.625</v>
      </c>
      <c r="T13" s="6">
        <f t="shared" ref="T13:T18" si="54">+IF(R13*24=9,15/24,9/24)</f>
        <v>0.625</v>
      </c>
      <c r="U13" s="6">
        <f t="shared" ref="U13:U18" si="55">+IF(R13*24=9,21/24,15/24)</f>
        <v>0.875</v>
      </c>
      <c r="V13" s="6">
        <f t="shared" ref="V13:V18" si="56">+IF(T13*24=9,15/24,9/24)</f>
        <v>0.375</v>
      </c>
      <c r="W13" s="6">
        <f t="shared" ref="W13:W18" si="57">+IF(T13*24=9,21/24,15/24)</f>
        <v>0.625</v>
      </c>
      <c r="X13" s="6">
        <f t="shared" ref="X13:X18" si="58">+IF(V13*24=9,15/24,9/24)</f>
        <v>0.625</v>
      </c>
      <c r="Y13" s="6">
        <f t="shared" ref="Y13:Y18" si="59">+IF(V13*24=9,21/24,15/24)</f>
        <v>0.875</v>
      </c>
      <c r="Z13" s="6">
        <f t="shared" ref="Z13:Z18" si="60">+IF(X13*24=9,15/24,9/24)</f>
        <v>0.375</v>
      </c>
      <c r="AA13" s="6">
        <f t="shared" ref="AA13:AA18" si="61">+IF(X13*24=9,21/24,15/24)</f>
        <v>0.625</v>
      </c>
      <c r="AB13" s="6">
        <f t="shared" ref="AB13:AB18" si="62">+IF(Z13*24=9,15/24,9/24)</f>
        <v>0.625</v>
      </c>
      <c r="AC13" s="6">
        <f t="shared" ref="AC13:AC18" si="63">+IF(Z13*24=9,21/24,15/24)</f>
        <v>0.875</v>
      </c>
      <c r="AD13" s="6">
        <f t="shared" ref="AD13:AD18" si="64">+IF(AB13*24=9,15/24,9/24)</f>
        <v>0.375</v>
      </c>
      <c r="AE13" s="6">
        <f t="shared" ref="AE13:AE18" si="65">+IF(AB13*24=9,21/24,15/24)</f>
        <v>0.625</v>
      </c>
      <c r="AF13" s="6">
        <v>0.625</v>
      </c>
      <c r="AG13" s="6">
        <v>0.875</v>
      </c>
      <c r="AH13" s="6">
        <f t="shared" si="30"/>
        <v>0.375</v>
      </c>
      <c r="AI13" s="6">
        <f t="shared" si="31"/>
        <v>0.625</v>
      </c>
      <c r="AJ13" s="6">
        <f t="shared" si="32"/>
        <v>0.625</v>
      </c>
      <c r="AK13" s="6">
        <f t="shared" si="33"/>
        <v>0.875</v>
      </c>
      <c r="AL13" s="6">
        <f t="shared" si="34"/>
        <v>0.375</v>
      </c>
      <c r="AM13" s="6">
        <f t="shared" si="35"/>
        <v>0.625</v>
      </c>
      <c r="AN13" s="6">
        <f t="shared" si="36"/>
        <v>0.625</v>
      </c>
      <c r="AO13" s="6">
        <f t="shared" si="37"/>
        <v>0.875</v>
      </c>
      <c r="AP13" s="6">
        <f t="shared" si="38"/>
        <v>0.375</v>
      </c>
      <c r="AQ13" s="6">
        <f t="shared" si="39"/>
        <v>0.625</v>
      </c>
      <c r="AR13" s="6">
        <f t="shared" si="40"/>
        <v>0.625</v>
      </c>
      <c r="AS13" s="6">
        <f t="shared" si="41"/>
        <v>0.875</v>
      </c>
      <c r="AT13" s="6">
        <f t="shared" ref="AT13:AT16" si="66">+IF(AR13*24=9,15/24,9/24)</f>
        <v>0.375</v>
      </c>
      <c r="AU13" s="6">
        <f t="shared" ref="AU13:AU16" si="67">+IF(AR13*24=9,21/24,15/24)</f>
        <v>0.625</v>
      </c>
    </row>
    <row r="14" spans="1:47">
      <c r="A14" t="s">
        <v>586</v>
      </c>
      <c r="B14">
        <v>4</v>
      </c>
      <c r="C14">
        <v>2</v>
      </c>
      <c r="D14" s="6">
        <v>0.625</v>
      </c>
      <c r="E14" s="6">
        <v>0.875</v>
      </c>
      <c r="F14" s="6">
        <f t="shared" si="0"/>
        <v>0.375</v>
      </c>
      <c r="G14" s="6">
        <f t="shared" si="1"/>
        <v>0.625</v>
      </c>
      <c r="H14" s="6">
        <f t="shared" si="2"/>
        <v>0.625</v>
      </c>
      <c r="I14" s="6">
        <f t="shared" si="3"/>
        <v>0.875</v>
      </c>
      <c r="J14" s="6">
        <f t="shared" si="44"/>
        <v>0.375</v>
      </c>
      <c r="K14" s="6">
        <f t="shared" si="45"/>
        <v>0.625</v>
      </c>
      <c r="L14" s="6">
        <f t="shared" si="46"/>
        <v>0.625</v>
      </c>
      <c r="M14" s="6">
        <f t="shared" si="47"/>
        <v>0.875</v>
      </c>
      <c r="N14" s="6">
        <f t="shared" si="48"/>
        <v>0.375</v>
      </c>
      <c r="O14" s="6">
        <f t="shared" si="49"/>
        <v>0.625</v>
      </c>
      <c r="P14" s="6">
        <f t="shared" si="50"/>
        <v>0.625</v>
      </c>
      <c r="Q14" s="6">
        <f t="shared" si="51"/>
        <v>0.875</v>
      </c>
      <c r="R14" s="6">
        <f t="shared" si="52"/>
        <v>0.375</v>
      </c>
      <c r="S14" s="6">
        <f t="shared" si="53"/>
        <v>0.625</v>
      </c>
      <c r="T14" s="6">
        <f t="shared" si="54"/>
        <v>0.625</v>
      </c>
      <c r="U14" s="6">
        <f t="shared" si="55"/>
        <v>0.875</v>
      </c>
      <c r="V14" s="6">
        <f t="shared" si="56"/>
        <v>0.375</v>
      </c>
      <c r="W14" s="6">
        <f t="shared" si="57"/>
        <v>0.625</v>
      </c>
      <c r="X14" s="6">
        <f t="shared" si="58"/>
        <v>0.625</v>
      </c>
      <c r="Y14" s="6">
        <f t="shared" si="59"/>
        <v>0.875</v>
      </c>
      <c r="Z14" s="6">
        <f t="shared" si="60"/>
        <v>0.375</v>
      </c>
      <c r="AA14" s="6">
        <f t="shared" si="61"/>
        <v>0.625</v>
      </c>
      <c r="AB14" s="6">
        <f t="shared" si="62"/>
        <v>0.625</v>
      </c>
      <c r="AC14" s="6">
        <f t="shared" si="63"/>
        <v>0.875</v>
      </c>
      <c r="AD14" s="6">
        <f t="shared" si="64"/>
        <v>0.375</v>
      </c>
      <c r="AE14" s="6">
        <f t="shared" si="65"/>
        <v>0.625</v>
      </c>
      <c r="AF14" s="6">
        <v>0.375</v>
      </c>
      <c r="AG14" s="6">
        <v>0.625</v>
      </c>
      <c r="AH14" s="6">
        <f t="shared" si="30"/>
        <v>0.625</v>
      </c>
      <c r="AI14" s="6">
        <f t="shared" si="31"/>
        <v>0.875</v>
      </c>
      <c r="AJ14" s="6">
        <f t="shared" si="32"/>
        <v>0.375</v>
      </c>
      <c r="AK14" s="6">
        <f t="shared" si="33"/>
        <v>0.625</v>
      </c>
      <c r="AL14" s="6">
        <f t="shared" si="34"/>
        <v>0.625</v>
      </c>
      <c r="AM14" s="6">
        <f t="shared" si="35"/>
        <v>0.875</v>
      </c>
      <c r="AN14" s="6">
        <f t="shared" si="36"/>
        <v>0.375</v>
      </c>
      <c r="AO14" s="6">
        <f t="shared" si="37"/>
        <v>0.625</v>
      </c>
      <c r="AP14" s="6">
        <f t="shared" si="38"/>
        <v>0.625</v>
      </c>
      <c r="AQ14" s="6">
        <f t="shared" si="39"/>
        <v>0.875</v>
      </c>
      <c r="AR14" s="6">
        <f t="shared" si="40"/>
        <v>0.375</v>
      </c>
      <c r="AS14" s="6">
        <f t="shared" si="41"/>
        <v>0.625</v>
      </c>
      <c r="AT14" s="6">
        <f t="shared" si="66"/>
        <v>0.625</v>
      </c>
      <c r="AU14" s="6">
        <f t="shared" si="67"/>
        <v>0.875</v>
      </c>
    </row>
    <row r="15" spans="1:47">
      <c r="A15" t="s">
        <v>587</v>
      </c>
      <c r="B15">
        <v>4</v>
      </c>
      <c r="C15">
        <v>2</v>
      </c>
      <c r="D15" s="6">
        <v>0.625</v>
      </c>
      <c r="E15" s="6">
        <v>0.875</v>
      </c>
      <c r="F15" s="6">
        <f t="shared" si="0"/>
        <v>0.375</v>
      </c>
      <c r="G15" s="6">
        <f t="shared" si="1"/>
        <v>0.625</v>
      </c>
      <c r="H15" s="6">
        <f t="shared" si="2"/>
        <v>0.625</v>
      </c>
      <c r="I15" s="6">
        <f t="shared" si="3"/>
        <v>0.875</v>
      </c>
      <c r="J15" s="6">
        <f t="shared" si="44"/>
        <v>0.375</v>
      </c>
      <c r="K15" s="6">
        <f t="shared" si="45"/>
        <v>0.625</v>
      </c>
      <c r="L15" s="6">
        <f t="shared" si="46"/>
        <v>0.625</v>
      </c>
      <c r="M15" s="6">
        <f t="shared" si="47"/>
        <v>0.875</v>
      </c>
      <c r="N15" s="6">
        <f t="shared" si="48"/>
        <v>0.375</v>
      </c>
      <c r="O15" s="6">
        <f t="shared" si="49"/>
        <v>0.625</v>
      </c>
      <c r="P15" s="6">
        <f t="shared" si="50"/>
        <v>0.625</v>
      </c>
      <c r="Q15" s="6">
        <f t="shared" si="51"/>
        <v>0.875</v>
      </c>
      <c r="R15" s="6">
        <f t="shared" si="52"/>
        <v>0.375</v>
      </c>
      <c r="S15" s="6">
        <f t="shared" si="53"/>
        <v>0.625</v>
      </c>
      <c r="T15" s="6">
        <f t="shared" si="54"/>
        <v>0.625</v>
      </c>
      <c r="U15" s="6">
        <f t="shared" si="55"/>
        <v>0.875</v>
      </c>
      <c r="V15" s="6">
        <f t="shared" si="56"/>
        <v>0.375</v>
      </c>
      <c r="W15" s="6">
        <f t="shared" si="57"/>
        <v>0.625</v>
      </c>
      <c r="X15" s="6">
        <f t="shared" si="58"/>
        <v>0.625</v>
      </c>
      <c r="Y15" s="6">
        <f t="shared" si="59"/>
        <v>0.875</v>
      </c>
      <c r="Z15" s="6">
        <f t="shared" si="60"/>
        <v>0.375</v>
      </c>
      <c r="AA15" s="6">
        <f t="shared" si="61"/>
        <v>0.625</v>
      </c>
      <c r="AB15" s="6">
        <f t="shared" si="62"/>
        <v>0.625</v>
      </c>
      <c r="AC15" s="6">
        <f t="shared" si="63"/>
        <v>0.875</v>
      </c>
      <c r="AD15" s="6">
        <f t="shared" si="64"/>
        <v>0.375</v>
      </c>
      <c r="AE15" s="6">
        <f t="shared" si="65"/>
        <v>0.625</v>
      </c>
      <c r="AF15" s="6">
        <v>0.375</v>
      </c>
      <c r="AG15" s="6">
        <v>0.625</v>
      </c>
      <c r="AH15" s="6">
        <f t="shared" si="30"/>
        <v>0.625</v>
      </c>
      <c r="AI15" s="6">
        <f t="shared" si="31"/>
        <v>0.875</v>
      </c>
      <c r="AJ15" s="6">
        <f t="shared" si="32"/>
        <v>0.375</v>
      </c>
      <c r="AK15" s="6">
        <f t="shared" si="33"/>
        <v>0.625</v>
      </c>
      <c r="AL15" s="6">
        <f t="shared" si="34"/>
        <v>0.625</v>
      </c>
      <c r="AM15" s="6">
        <f t="shared" si="35"/>
        <v>0.875</v>
      </c>
      <c r="AN15" s="6">
        <f t="shared" si="36"/>
        <v>0.375</v>
      </c>
      <c r="AO15" s="6">
        <f t="shared" si="37"/>
        <v>0.625</v>
      </c>
      <c r="AP15" s="6">
        <f t="shared" si="38"/>
        <v>0.625</v>
      </c>
      <c r="AQ15" s="6">
        <f t="shared" si="39"/>
        <v>0.875</v>
      </c>
      <c r="AR15" s="6">
        <f t="shared" si="40"/>
        <v>0.375</v>
      </c>
      <c r="AS15" s="6">
        <f t="shared" si="41"/>
        <v>0.625</v>
      </c>
      <c r="AT15" s="6">
        <f t="shared" si="66"/>
        <v>0.625</v>
      </c>
      <c r="AU15" s="6">
        <f t="shared" si="67"/>
        <v>0.875</v>
      </c>
    </row>
    <row r="16" spans="1:47">
      <c r="A16" t="s">
        <v>588</v>
      </c>
      <c r="B16">
        <v>4</v>
      </c>
      <c r="C16">
        <v>2</v>
      </c>
      <c r="D16" s="6">
        <v>0.375</v>
      </c>
      <c r="E16" s="6">
        <v>0.625</v>
      </c>
      <c r="F16" s="6">
        <f t="shared" si="0"/>
        <v>0.625</v>
      </c>
      <c r="G16" s="6">
        <f t="shared" si="1"/>
        <v>0.875</v>
      </c>
      <c r="H16" s="6">
        <f t="shared" si="2"/>
        <v>0.375</v>
      </c>
      <c r="I16" s="6">
        <f t="shared" si="3"/>
        <v>0.625</v>
      </c>
      <c r="J16" s="6">
        <f t="shared" si="44"/>
        <v>0.625</v>
      </c>
      <c r="K16" s="6">
        <f t="shared" si="45"/>
        <v>0.875</v>
      </c>
      <c r="L16" s="6">
        <f t="shared" si="46"/>
        <v>0.375</v>
      </c>
      <c r="M16" s="6">
        <f t="shared" si="47"/>
        <v>0.625</v>
      </c>
      <c r="N16" s="6">
        <f t="shared" si="48"/>
        <v>0.625</v>
      </c>
      <c r="O16" s="6">
        <f t="shared" si="49"/>
        <v>0.875</v>
      </c>
      <c r="P16" s="6">
        <f t="shared" si="50"/>
        <v>0.375</v>
      </c>
      <c r="Q16" s="6">
        <f t="shared" si="51"/>
        <v>0.625</v>
      </c>
      <c r="R16" s="6">
        <f t="shared" si="52"/>
        <v>0.625</v>
      </c>
      <c r="S16" s="6">
        <f t="shared" si="53"/>
        <v>0.875</v>
      </c>
      <c r="T16" s="6">
        <f t="shared" si="54"/>
        <v>0.375</v>
      </c>
      <c r="U16" s="6">
        <f t="shared" si="55"/>
        <v>0.625</v>
      </c>
      <c r="V16" s="6">
        <f t="shared" si="56"/>
        <v>0.625</v>
      </c>
      <c r="W16" s="6">
        <f t="shared" si="57"/>
        <v>0.875</v>
      </c>
      <c r="X16" s="6">
        <f t="shared" si="58"/>
        <v>0.375</v>
      </c>
      <c r="Y16" s="6">
        <f t="shared" si="59"/>
        <v>0.625</v>
      </c>
      <c r="Z16" s="6">
        <f t="shared" si="60"/>
        <v>0.625</v>
      </c>
      <c r="AA16" s="6">
        <f t="shared" si="61"/>
        <v>0.875</v>
      </c>
      <c r="AB16" s="6">
        <f t="shared" si="62"/>
        <v>0.375</v>
      </c>
      <c r="AC16" s="6">
        <f t="shared" si="63"/>
        <v>0.625</v>
      </c>
      <c r="AD16" s="6">
        <f t="shared" si="64"/>
        <v>0.625</v>
      </c>
      <c r="AE16" s="6">
        <f t="shared" si="65"/>
        <v>0.875</v>
      </c>
      <c r="AF16" s="6">
        <v>0.375</v>
      </c>
      <c r="AG16" s="6">
        <v>0.625</v>
      </c>
      <c r="AH16" s="6">
        <f t="shared" si="30"/>
        <v>0.625</v>
      </c>
      <c r="AI16" s="6">
        <f t="shared" si="31"/>
        <v>0.875</v>
      </c>
      <c r="AJ16" s="6">
        <f t="shared" si="32"/>
        <v>0.375</v>
      </c>
      <c r="AK16" s="6">
        <f t="shared" si="33"/>
        <v>0.625</v>
      </c>
      <c r="AL16" s="6">
        <f t="shared" si="34"/>
        <v>0.625</v>
      </c>
      <c r="AM16" s="6">
        <f t="shared" si="35"/>
        <v>0.875</v>
      </c>
      <c r="AN16" s="6">
        <f t="shared" si="36"/>
        <v>0.375</v>
      </c>
      <c r="AO16" s="6">
        <f t="shared" si="37"/>
        <v>0.625</v>
      </c>
      <c r="AP16" s="6">
        <f t="shared" si="38"/>
        <v>0.625</v>
      </c>
      <c r="AQ16" s="6">
        <f t="shared" si="39"/>
        <v>0.875</v>
      </c>
      <c r="AR16" s="6">
        <f t="shared" si="40"/>
        <v>0.375</v>
      </c>
      <c r="AS16" s="6">
        <f t="shared" si="41"/>
        <v>0.625</v>
      </c>
      <c r="AT16" s="6">
        <f t="shared" si="66"/>
        <v>0.625</v>
      </c>
      <c r="AU16" s="6">
        <f t="shared" si="67"/>
        <v>0.875</v>
      </c>
    </row>
    <row r="17" spans="1:47">
      <c r="A17" t="s">
        <v>589</v>
      </c>
      <c r="B17">
        <v>4</v>
      </c>
      <c r="C17">
        <v>2</v>
      </c>
      <c r="D17" s="6">
        <v>0.375</v>
      </c>
      <c r="E17" s="6">
        <v>0.625</v>
      </c>
      <c r="F17" s="6">
        <f t="shared" si="0"/>
        <v>0.625</v>
      </c>
      <c r="G17" s="6">
        <f t="shared" si="1"/>
        <v>0.875</v>
      </c>
      <c r="H17" s="6">
        <f t="shared" si="2"/>
        <v>0.375</v>
      </c>
      <c r="I17" s="6">
        <f t="shared" si="3"/>
        <v>0.625</v>
      </c>
      <c r="J17" s="6">
        <f t="shared" si="44"/>
        <v>0.625</v>
      </c>
      <c r="K17" s="6">
        <f t="shared" si="45"/>
        <v>0.875</v>
      </c>
      <c r="L17" s="6">
        <f t="shared" si="46"/>
        <v>0.375</v>
      </c>
      <c r="M17" s="6">
        <f t="shared" si="47"/>
        <v>0.625</v>
      </c>
      <c r="N17" s="6">
        <f t="shared" si="48"/>
        <v>0.625</v>
      </c>
      <c r="O17" s="6">
        <f t="shared" si="49"/>
        <v>0.875</v>
      </c>
      <c r="P17" s="6">
        <f t="shared" si="50"/>
        <v>0.375</v>
      </c>
      <c r="Q17" s="6">
        <f t="shared" si="51"/>
        <v>0.625</v>
      </c>
      <c r="R17" s="6">
        <f t="shared" si="52"/>
        <v>0.625</v>
      </c>
      <c r="S17" s="6">
        <f t="shared" si="53"/>
        <v>0.875</v>
      </c>
      <c r="T17" s="6">
        <f t="shared" si="54"/>
        <v>0.375</v>
      </c>
      <c r="U17" s="6">
        <f t="shared" si="55"/>
        <v>0.625</v>
      </c>
      <c r="V17" s="6">
        <f t="shared" si="56"/>
        <v>0.625</v>
      </c>
      <c r="W17" s="6">
        <f t="shared" si="57"/>
        <v>0.875</v>
      </c>
      <c r="X17" s="6">
        <f t="shared" si="58"/>
        <v>0.375</v>
      </c>
      <c r="Y17" s="6">
        <f t="shared" si="59"/>
        <v>0.625</v>
      </c>
      <c r="Z17" s="6">
        <f t="shared" si="60"/>
        <v>0.625</v>
      </c>
      <c r="AA17" s="6">
        <f t="shared" si="61"/>
        <v>0.875</v>
      </c>
      <c r="AB17" s="6">
        <f t="shared" si="62"/>
        <v>0.375</v>
      </c>
      <c r="AC17" s="6">
        <f t="shared" si="63"/>
        <v>0.625</v>
      </c>
      <c r="AD17" s="6">
        <f t="shared" si="64"/>
        <v>0.625</v>
      </c>
      <c r="AE17" s="6">
        <f t="shared" si="65"/>
        <v>0.875</v>
      </c>
      <c r="AF17" s="16">
        <v>0.375</v>
      </c>
      <c r="AG17" s="16">
        <v>0.54166666666666663</v>
      </c>
      <c r="AH17" s="16">
        <v>0.375</v>
      </c>
      <c r="AI17" s="16">
        <v>0.54166666666666663</v>
      </c>
      <c r="AJ17" s="16">
        <v>0.375</v>
      </c>
      <c r="AK17" s="16">
        <v>0.54166666666666663</v>
      </c>
      <c r="AL17" s="16">
        <v>0.375</v>
      </c>
      <c r="AM17" s="16">
        <v>0.54166666666666663</v>
      </c>
      <c r="AN17" s="16">
        <v>0.375</v>
      </c>
      <c r="AO17" s="16">
        <v>0.54166666666666663</v>
      </c>
      <c r="AP17" s="16">
        <v>0.375</v>
      </c>
      <c r="AQ17" s="16">
        <v>0.54166666666666663</v>
      </c>
      <c r="AR17" s="16">
        <v>0.375</v>
      </c>
      <c r="AS17" s="16">
        <v>0.54166666666666663</v>
      </c>
      <c r="AT17" s="16">
        <v>0.375</v>
      </c>
      <c r="AU17" s="16">
        <v>0.54166666666666663</v>
      </c>
    </row>
    <row r="18" spans="1:47">
      <c r="A18" t="s">
        <v>590</v>
      </c>
      <c r="B18">
        <v>4</v>
      </c>
      <c r="C18">
        <v>2</v>
      </c>
      <c r="D18" s="6">
        <v>0.625</v>
      </c>
      <c r="E18" s="6">
        <v>0.875</v>
      </c>
      <c r="F18" s="6">
        <f t="shared" si="0"/>
        <v>0.375</v>
      </c>
      <c r="G18" s="6">
        <f t="shared" si="1"/>
        <v>0.625</v>
      </c>
      <c r="H18" s="6">
        <f t="shared" si="2"/>
        <v>0.625</v>
      </c>
      <c r="I18" s="6">
        <f t="shared" si="3"/>
        <v>0.875</v>
      </c>
      <c r="J18" s="6">
        <f t="shared" si="44"/>
        <v>0.375</v>
      </c>
      <c r="K18" s="6">
        <f t="shared" si="45"/>
        <v>0.625</v>
      </c>
      <c r="L18" s="6">
        <f t="shared" si="46"/>
        <v>0.625</v>
      </c>
      <c r="M18" s="6">
        <f t="shared" si="47"/>
        <v>0.875</v>
      </c>
      <c r="N18" s="6">
        <f t="shared" si="48"/>
        <v>0.375</v>
      </c>
      <c r="O18" s="6">
        <f t="shared" si="49"/>
        <v>0.625</v>
      </c>
      <c r="P18" s="6">
        <f t="shared" si="50"/>
        <v>0.625</v>
      </c>
      <c r="Q18" s="6">
        <f t="shared" si="51"/>
        <v>0.875</v>
      </c>
      <c r="R18" s="6">
        <f t="shared" si="52"/>
        <v>0.375</v>
      </c>
      <c r="S18" s="6">
        <f t="shared" si="53"/>
        <v>0.625</v>
      </c>
      <c r="T18" s="6">
        <f t="shared" si="54"/>
        <v>0.625</v>
      </c>
      <c r="U18" s="6">
        <f t="shared" si="55"/>
        <v>0.875</v>
      </c>
      <c r="V18" s="6">
        <f t="shared" si="56"/>
        <v>0.375</v>
      </c>
      <c r="W18" s="6">
        <f t="shared" si="57"/>
        <v>0.625</v>
      </c>
      <c r="X18" s="6">
        <f t="shared" si="58"/>
        <v>0.625</v>
      </c>
      <c r="Y18" s="6">
        <f t="shared" si="59"/>
        <v>0.875</v>
      </c>
      <c r="Z18" s="6">
        <f t="shared" si="60"/>
        <v>0.375</v>
      </c>
      <c r="AA18" s="6">
        <f t="shared" si="61"/>
        <v>0.625</v>
      </c>
      <c r="AB18" s="6">
        <f t="shared" si="62"/>
        <v>0.625</v>
      </c>
      <c r="AC18" s="6">
        <f t="shared" si="63"/>
        <v>0.875</v>
      </c>
      <c r="AD18" s="6">
        <f t="shared" si="64"/>
        <v>0.375</v>
      </c>
      <c r="AE18" s="6">
        <f t="shared" si="65"/>
        <v>0.625</v>
      </c>
      <c r="AF18" s="6">
        <v>0.375</v>
      </c>
      <c r="AG18" s="6">
        <v>0.625</v>
      </c>
      <c r="AH18" s="6">
        <f>+IF(AF18*24=9,15/24,9/24)</f>
        <v>0.625</v>
      </c>
      <c r="AI18" s="6">
        <f>+IF(AF18*24=9,21/24,15/24)</f>
        <v>0.875</v>
      </c>
      <c r="AJ18" s="6">
        <f>+IF(AH18*24=9,15/24,9/24)</f>
        <v>0.375</v>
      </c>
      <c r="AK18" s="6">
        <f>+IF(AH18*24=9,21/24,15/24)</f>
        <v>0.625</v>
      </c>
      <c r="AL18" s="6">
        <f>+IF(AJ18*24=9,15/24,9/24)</f>
        <v>0.625</v>
      </c>
      <c r="AM18" s="6">
        <f>+IF(AJ18*24=9,21/24,15/24)</f>
        <v>0.875</v>
      </c>
      <c r="AN18" s="6">
        <f>+IF(AL18*24=9,15/24,9/24)</f>
        <v>0.375</v>
      </c>
      <c r="AO18" s="6">
        <f>+IF(AL18*24=9,21/24,15/24)</f>
        <v>0.625</v>
      </c>
      <c r="AP18" s="6">
        <f>+IF(AN18*24=9,15/24,9/24)</f>
        <v>0.625</v>
      </c>
      <c r="AQ18" s="6">
        <f>+IF(AN18*24=9,21/24,15/24)</f>
        <v>0.875</v>
      </c>
      <c r="AR18" s="6">
        <f>+IF(AP18*24=9,15/24,9/24)</f>
        <v>0.375</v>
      </c>
      <c r="AS18" s="6">
        <f>+IF(AP18*24=9,21/24,15/24)</f>
        <v>0.625</v>
      </c>
      <c r="AT18" s="6">
        <f>+IF(AR18*24=9,15/24,9/24)</f>
        <v>0.625</v>
      </c>
      <c r="AU18" s="6">
        <f>+IF(AR18*24=9,21/24,15/24)</f>
        <v>0.875</v>
      </c>
    </row>
    <row r="19" spans="1:47">
      <c r="A19" t="s">
        <v>411</v>
      </c>
      <c r="B19">
        <v>4</v>
      </c>
      <c r="C19">
        <v>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>
        <v>0.625</v>
      </c>
      <c r="AG19" s="6">
        <v>0.875</v>
      </c>
      <c r="AH19" s="6">
        <f>+IF(AF19*24=9,15/24,9/24)</f>
        <v>0.375</v>
      </c>
      <c r="AI19" s="6">
        <f>+IF(AF19*24=9,21/24,15/24)</f>
        <v>0.625</v>
      </c>
      <c r="AJ19" s="6">
        <f>+IF(AH19*24=9,15/24,9/24)</f>
        <v>0.625</v>
      </c>
      <c r="AK19" s="6">
        <f>+IF(AH19*24=9,21/24,15/24)</f>
        <v>0.875</v>
      </c>
      <c r="AL19" s="6">
        <f>+IF(AJ19*24=9,15/24,9/24)</f>
        <v>0.375</v>
      </c>
      <c r="AM19" s="6">
        <f>+IF(AJ19*24=9,21/24,15/24)</f>
        <v>0.625</v>
      </c>
      <c r="AN19" s="6">
        <f>+IF(AL19*24=9,15/24,9/24)</f>
        <v>0.625</v>
      </c>
      <c r="AO19" s="6">
        <f>+IF(AL19*24=9,21/24,15/24)</f>
        <v>0.875</v>
      </c>
      <c r="AP19" s="6">
        <f>+IF(AN19*24=9,15/24,9/24)</f>
        <v>0.375</v>
      </c>
      <c r="AQ19" s="6">
        <f>+IF(AN19*24=9,21/24,15/24)</f>
        <v>0.625</v>
      </c>
      <c r="AR19" s="6">
        <f>+IF(AP19*24=9,15/24,9/24)</f>
        <v>0.625</v>
      </c>
      <c r="AS19" s="6">
        <f>+IF(AP19*24=9,21/24,15/24)</f>
        <v>0.875</v>
      </c>
      <c r="AT19" s="6">
        <f>+IF(AR19*24=9,15/24,9/24)</f>
        <v>0.375</v>
      </c>
      <c r="AU19" s="6">
        <f>+IF(AR19*24=9,21/24,15/24)</f>
        <v>0.625</v>
      </c>
    </row>
    <row r="20" spans="1:47">
      <c r="A20" t="s">
        <v>412</v>
      </c>
      <c r="B20">
        <v>4</v>
      </c>
      <c r="C20">
        <v>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>
        <v>0.625</v>
      </c>
      <c r="AG20" s="6">
        <v>0.875</v>
      </c>
      <c r="AH20" s="6">
        <f t="shared" ref="AH20:AH22" si="68">+IF(AF20*24=9,15/24,9/24)</f>
        <v>0.375</v>
      </c>
      <c r="AI20" s="6">
        <f t="shared" ref="AI20:AI22" si="69">+IF(AF20*24=9,21/24,15/24)</f>
        <v>0.625</v>
      </c>
      <c r="AJ20" s="6">
        <f t="shared" ref="AJ20:AJ22" si="70">+IF(AH20*24=9,15/24,9/24)</f>
        <v>0.625</v>
      </c>
      <c r="AK20" s="6">
        <f t="shared" ref="AK20:AK22" si="71">+IF(AH20*24=9,21/24,15/24)</f>
        <v>0.875</v>
      </c>
      <c r="AL20" s="6">
        <f t="shared" ref="AL20:AL22" si="72">+IF(AJ20*24=9,15/24,9/24)</f>
        <v>0.375</v>
      </c>
      <c r="AM20" s="6">
        <f t="shared" ref="AM20:AM22" si="73">+IF(AJ20*24=9,21/24,15/24)</f>
        <v>0.625</v>
      </c>
      <c r="AN20" s="6">
        <f t="shared" ref="AN20:AN22" si="74">+IF(AL20*24=9,15/24,9/24)</f>
        <v>0.625</v>
      </c>
      <c r="AO20" s="6">
        <f t="shared" ref="AO20:AO22" si="75">+IF(AL20*24=9,21/24,15/24)</f>
        <v>0.875</v>
      </c>
      <c r="AP20" s="6">
        <f t="shared" ref="AP20:AP22" si="76">+IF(AN20*24=9,15/24,9/24)</f>
        <v>0.375</v>
      </c>
      <c r="AQ20" s="6">
        <f t="shared" ref="AQ20:AQ22" si="77">+IF(AN20*24=9,21/24,15/24)</f>
        <v>0.625</v>
      </c>
      <c r="AR20" s="6">
        <f t="shared" ref="AR20:AR22" si="78">+IF(AP20*24=9,15/24,9/24)</f>
        <v>0.625</v>
      </c>
      <c r="AS20" s="6">
        <f t="shared" ref="AS20:AS22" si="79">+IF(AP20*24=9,21/24,15/24)</f>
        <v>0.875</v>
      </c>
      <c r="AT20" s="6">
        <f t="shared" ref="AT20:AT22" si="80">+IF(AR20*24=9,15/24,9/24)</f>
        <v>0.375</v>
      </c>
      <c r="AU20" s="6">
        <f t="shared" ref="AU20:AU22" si="81">+IF(AR20*24=9,21/24,15/24)</f>
        <v>0.625</v>
      </c>
    </row>
    <row r="21" spans="1:47">
      <c r="A21" t="s">
        <v>413</v>
      </c>
      <c r="B21">
        <v>4</v>
      </c>
      <c r="C21">
        <v>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>
        <v>0.375</v>
      </c>
      <c r="AG21" s="6">
        <v>0.625</v>
      </c>
      <c r="AH21" s="6">
        <f t="shared" si="68"/>
        <v>0.625</v>
      </c>
      <c r="AI21" s="6">
        <f t="shared" si="69"/>
        <v>0.875</v>
      </c>
      <c r="AJ21" s="6">
        <f t="shared" si="70"/>
        <v>0.375</v>
      </c>
      <c r="AK21" s="6">
        <f t="shared" si="71"/>
        <v>0.625</v>
      </c>
      <c r="AL21" s="6">
        <f t="shared" si="72"/>
        <v>0.625</v>
      </c>
      <c r="AM21" s="6">
        <f t="shared" si="73"/>
        <v>0.875</v>
      </c>
      <c r="AN21" s="6">
        <f t="shared" si="74"/>
        <v>0.375</v>
      </c>
      <c r="AO21" s="6">
        <f t="shared" si="75"/>
        <v>0.625</v>
      </c>
      <c r="AP21" s="6">
        <f t="shared" si="76"/>
        <v>0.625</v>
      </c>
      <c r="AQ21" s="6">
        <f t="shared" si="77"/>
        <v>0.875</v>
      </c>
      <c r="AR21" s="6">
        <f t="shared" si="78"/>
        <v>0.375</v>
      </c>
      <c r="AS21" s="6">
        <f t="shared" si="79"/>
        <v>0.625</v>
      </c>
      <c r="AT21" s="6">
        <f t="shared" si="80"/>
        <v>0.625</v>
      </c>
      <c r="AU21" s="6">
        <f t="shared" si="81"/>
        <v>0.875</v>
      </c>
    </row>
    <row r="22" spans="1:47">
      <c r="A22" t="s">
        <v>414</v>
      </c>
      <c r="B22">
        <v>4</v>
      </c>
      <c r="C22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>
        <v>0.375</v>
      </c>
      <c r="AG22" s="6">
        <v>0.625</v>
      </c>
      <c r="AH22" s="6">
        <f t="shared" si="68"/>
        <v>0.625</v>
      </c>
      <c r="AI22" s="6">
        <f t="shared" si="69"/>
        <v>0.875</v>
      </c>
      <c r="AJ22" s="6">
        <f t="shared" si="70"/>
        <v>0.375</v>
      </c>
      <c r="AK22" s="6">
        <f t="shared" si="71"/>
        <v>0.625</v>
      </c>
      <c r="AL22" s="6">
        <f t="shared" si="72"/>
        <v>0.625</v>
      </c>
      <c r="AM22" s="6">
        <f t="shared" si="73"/>
        <v>0.875</v>
      </c>
      <c r="AN22" s="6">
        <f t="shared" si="74"/>
        <v>0.375</v>
      </c>
      <c r="AO22" s="6">
        <f t="shared" si="75"/>
        <v>0.625</v>
      </c>
      <c r="AP22" s="6">
        <f t="shared" si="76"/>
        <v>0.625</v>
      </c>
      <c r="AQ22" s="6">
        <f t="shared" si="77"/>
        <v>0.875</v>
      </c>
      <c r="AR22" s="6">
        <f t="shared" si="78"/>
        <v>0.375</v>
      </c>
      <c r="AS22" s="6">
        <f t="shared" si="79"/>
        <v>0.625</v>
      </c>
      <c r="AT22" s="6">
        <f t="shared" si="80"/>
        <v>0.625</v>
      </c>
      <c r="AU22" s="6">
        <f t="shared" si="81"/>
        <v>0.875</v>
      </c>
    </row>
    <row r="23" spans="1:47">
      <c r="A23" t="s">
        <v>415</v>
      </c>
      <c r="B23">
        <v>4</v>
      </c>
      <c r="C23">
        <v>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16">
        <v>0.375</v>
      </c>
      <c r="AG23" s="16">
        <v>0.54166666666666663</v>
      </c>
      <c r="AH23" s="16">
        <v>0.375</v>
      </c>
      <c r="AI23" s="16">
        <v>0.54166666666666663</v>
      </c>
      <c r="AJ23" s="16">
        <v>0.375</v>
      </c>
      <c r="AK23" s="16">
        <v>0.54166666666666663</v>
      </c>
      <c r="AL23" s="16">
        <v>0.375</v>
      </c>
      <c r="AM23" s="16">
        <v>0.54166666666666663</v>
      </c>
      <c r="AN23" s="16">
        <v>0.375</v>
      </c>
      <c r="AO23" s="16">
        <v>0.54166666666666663</v>
      </c>
      <c r="AP23" s="16">
        <v>0.375</v>
      </c>
      <c r="AQ23" s="16">
        <v>0.54166666666666663</v>
      </c>
      <c r="AR23" s="16">
        <v>0.375</v>
      </c>
      <c r="AS23" s="16">
        <v>0.54166666666666663</v>
      </c>
      <c r="AT23" s="16">
        <v>0.375</v>
      </c>
      <c r="AU23" s="16">
        <v>0.54166666666666663</v>
      </c>
    </row>
    <row r="24" spans="1:47">
      <c r="A24" t="s">
        <v>416</v>
      </c>
      <c r="B24">
        <v>4</v>
      </c>
      <c r="C24">
        <v>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>
        <v>0.375</v>
      </c>
      <c r="AG24" s="6">
        <v>0.625</v>
      </c>
      <c r="AH24" s="6">
        <f t="shared" ref="AH24:AH27" si="82">+IF(AF24*24=9,15/24,9/24)</f>
        <v>0.625</v>
      </c>
      <c r="AI24" s="6">
        <f t="shared" ref="AI24:AI27" si="83">+IF(AF24*24=9,21/24,15/24)</f>
        <v>0.875</v>
      </c>
      <c r="AJ24" s="6">
        <f t="shared" ref="AJ24:AJ27" si="84">+IF(AH24*24=9,15/24,9/24)</f>
        <v>0.375</v>
      </c>
      <c r="AK24" s="6">
        <f t="shared" ref="AK24:AK27" si="85">+IF(AH24*24=9,21/24,15/24)</f>
        <v>0.625</v>
      </c>
      <c r="AL24" s="6">
        <f t="shared" ref="AL24:AL27" si="86">+IF(AJ24*24=9,15/24,9/24)</f>
        <v>0.625</v>
      </c>
      <c r="AM24" s="6">
        <f t="shared" ref="AM24:AM27" si="87">+IF(AJ24*24=9,21/24,15/24)</f>
        <v>0.875</v>
      </c>
      <c r="AN24" s="6">
        <f t="shared" ref="AN24:AN27" si="88">+IF(AL24*24=9,15/24,9/24)</f>
        <v>0.375</v>
      </c>
      <c r="AO24" s="6">
        <f t="shared" ref="AO24:AO27" si="89">+IF(AL24*24=9,21/24,15/24)</f>
        <v>0.625</v>
      </c>
      <c r="AP24" s="6">
        <f t="shared" ref="AP24:AP27" si="90">+IF(AN24*24=9,15/24,9/24)</f>
        <v>0.625</v>
      </c>
      <c r="AQ24" s="6">
        <f t="shared" ref="AQ24:AQ27" si="91">+IF(AN24*24=9,21/24,15/24)</f>
        <v>0.875</v>
      </c>
      <c r="AR24" s="6">
        <f t="shared" ref="AR24:AR27" si="92">+IF(AP24*24=9,15/24,9/24)</f>
        <v>0.375</v>
      </c>
      <c r="AS24" s="6">
        <f t="shared" ref="AS24:AS27" si="93">+IF(AP24*24=9,21/24,15/24)</f>
        <v>0.625</v>
      </c>
      <c r="AT24" s="6">
        <f t="shared" ref="AT24:AT27" si="94">+IF(AR24*24=9,15/24,9/24)</f>
        <v>0.625</v>
      </c>
      <c r="AU24" s="6">
        <f t="shared" ref="AU24:AU27" si="95">+IF(AR24*24=9,21/24,15/24)</f>
        <v>0.875</v>
      </c>
    </row>
    <row r="25" spans="1:47">
      <c r="A25" t="s">
        <v>417</v>
      </c>
      <c r="B25">
        <v>4</v>
      </c>
      <c r="C25">
        <v>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>
        <v>0.375</v>
      </c>
      <c r="AG25" s="6">
        <v>0.625</v>
      </c>
      <c r="AH25" s="6">
        <f t="shared" si="82"/>
        <v>0.625</v>
      </c>
      <c r="AI25" s="6">
        <f t="shared" si="83"/>
        <v>0.875</v>
      </c>
      <c r="AJ25" s="6">
        <f t="shared" si="84"/>
        <v>0.375</v>
      </c>
      <c r="AK25" s="6">
        <f t="shared" si="85"/>
        <v>0.625</v>
      </c>
      <c r="AL25" s="6">
        <f t="shared" si="86"/>
        <v>0.625</v>
      </c>
      <c r="AM25" s="6">
        <f t="shared" si="87"/>
        <v>0.875</v>
      </c>
      <c r="AN25" s="6">
        <f t="shared" si="88"/>
        <v>0.375</v>
      </c>
      <c r="AO25" s="6">
        <f t="shared" si="89"/>
        <v>0.625</v>
      </c>
      <c r="AP25" s="6">
        <f t="shared" si="90"/>
        <v>0.625</v>
      </c>
      <c r="AQ25" s="6">
        <f t="shared" si="91"/>
        <v>0.875</v>
      </c>
      <c r="AR25" s="6">
        <f t="shared" si="92"/>
        <v>0.375</v>
      </c>
      <c r="AS25" s="6">
        <f t="shared" si="93"/>
        <v>0.625</v>
      </c>
      <c r="AT25" s="6">
        <f t="shared" si="94"/>
        <v>0.625</v>
      </c>
      <c r="AU25" s="6">
        <f t="shared" si="95"/>
        <v>0.875</v>
      </c>
    </row>
    <row r="26" spans="1:47">
      <c r="A26" t="s">
        <v>418</v>
      </c>
      <c r="B26">
        <v>4</v>
      </c>
      <c r="C26">
        <v>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>
        <v>0.625</v>
      </c>
      <c r="AG26" s="6">
        <v>0.875</v>
      </c>
      <c r="AH26" s="6">
        <f t="shared" si="82"/>
        <v>0.375</v>
      </c>
      <c r="AI26" s="6">
        <f t="shared" si="83"/>
        <v>0.625</v>
      </c>
      <c r="AJ26" s="6">
        <f t="shared" si="84"/>
        <v>0.625</v>
      </c>
      <c r="AK26" s="6">
        <f t="shared" si="85"/>
        <v>0.875</v>
      </c>
      <c r="AL26" s="6">
        <f t="shared" si="86"/>
        <v>0.375</v>
      </c>
      <c r="AM26" s="6">
        <f t="shared" si="87"/>
        <v>0.625</v>
      </c>
      <c r="AN26" s="6">
        <f t="shared" si="88"/>
        <v>0.625</v>
      </c>
      <c r="AO26" s="6">
        <f t="shared" si="89"/>
        <v>0.875</v>
      </c>
      <c r="AP26" s="6">
        <f t="shared" si="90"/>
        <v>0.375</v>
      </c>
      <c r="AQ26" s="6">
        <f t="shared" si="91"/>
        <v>0.625</v>
      </c>
      <c r="AR26" s="6">
        <f t="shared" si="92"/>
        <v>0.625</v>
      </c>
      <c r="AS26" s="6">
        <f t="shared" si="93"/>
        <v>0.875</v>
      </c>
      <c r="AT26" s="6">
        <f t="shared" si="94"/>
        <v>0.375</v>
      </c>
      <c r="AU26" s="6">
        <f t="shared" si="95"/>
        <v>0.625</v>
      </c>
    </row>
    <row r="27" spans="1:47">
      <c r="A27" t="s">
        <v>419</v>
      </c>
      <c r="B27">
        <v>4</v>
      </c>
      <c r="C27">
        <v>2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>
        <v>0.625</v>
      </c>
      <c r="AG27" s="6">
        <v>0.875</v>
      </c>
      <c r="AH27" s="6">
        <f t="shared" si="82"/>
        <v>0.375</v>
      </c>
      <c r="AI27" s="6">
        <f t="shared" si="83"/>
        <v>0.625</v>
      </c>
      <c r="AJ27" s="6">
        <f t="shared" si="84"/>
        <v>0.625</v>
      </c>
      <c r="AK27" s="6">
        <f t="shared" si="85"/>
        <v>0.875</v>
      </c>
      <c r="AL27" s="6">
        <f t="shared" si="86"/>
        <v>0.375</v>
      </c>
      <c r="AM27" s="6">
        <f t="shared" si="87"/>
        <v>0.625</v>
      </c>
      <c r="AN27" s="6">
        <f t="shared" si="88"/>
        <v>0.625</v>
      </c>
      <c r="AO27" s="6">
        <f t="shared" si="89"/>
        <v>0.875</v>
      </c>
      <c r="AP27" s="6">
        <f t="shared" si="90"/>
        <v>0.375</v>
      </c>
      <c r="AQ27" s="6">
        <f t="shared" si="91"/>
        <v>0.625</v>
      </c>
      <c r="AR27" s="6">
        <f t="shared" si="92"/>
        <v>0.625</v>
      </c>
      <c r="AS27" s="6">
        <f t="shared" si="93"/>
        <v>0.875</v>
      </c>
      <c r="AT27" s="6">
        <f t="shared" si="94"/>
        <v>0.375</v>
      </c>
      <c r="AU27" s="6">
        <f t="shared" si="95"/>
        <v>0.625</v>
      </c>
    </row>
    <row r="28" spans="1:47">
      <c r="A28" t="s">
        <v>420</v>
      </c>
      <c r="B28">
        <v>4</v>
      </c>
      <c r="C28">
        <v>2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16">
        <v>0.375</v>
      </c>
      <c r="AG28" s="16">
        <v>0.54166666666666663</v>
      </c>
      <c r="AH28" s="16">
        <v>0.375</v>
      </c>
      <c r="AI28" s="16">
        <v>0.54166666666666663</v>
      </c>
      <c r="AJ28" s="16">
        <v>0.375</v>
      </c>
      <c r="AK28" s="16">
        <v>0.54166666666666663</v>
      </c>
      <c r="AL28" s="16">
        <v>0.375</v>
      </c>
      <c r="AM28" s="16">
        <v>0.54166666666666663</v>
      </c>
      <c r="AN28" s="16">
        <v>0.375</v>
      </c>
      <c r="AO28" s="16">
        <v>0.58333333333333337</v>
      </c>
      <c r="AP28" s="16">
        <v>0.375</v>
      </c>
      <c r="AQ28" s="16">
        <v>0.58333333333333337</v>
      </c>
      <c r="AR28" s="16">
        <v>0.375</v>
      </c>
      <c r="AS28" s="16">
        <v>0.58333333333333337</v>
      </c>
      <c r="AT28" s="16">
        <v>0.375</v>
      </c>
      <c r="AU28" s="16">
        <v>0.58333333333333337</v>
      </c>
    </row>
    <row r="29" spans="1:47">
      <c r="A29" t="s">
        <v>421</v>
      </c>
      <c r="B29">
        <v>4</v>
      </c>
      <c r="C29">
        <v>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>
        <v>0.375</v>
      </c>
      <c r="AG29" s="6">
        <v>0.625</v>
      </c>
      <c r="AH29" s="6">
        <f t="shared" ref="AH29:AH39" si="96">+IF(AF29*24=9,15/24,9/24)</f>
        <v>0.625</v>
      </c>
      <c r="AI29" s="6">
        <f t="shared" ref="AI29:AI39" si="97">+IF(AF29*24=9,21/24,15/24)</f>
        <v>0.875</v>
      </c>
      <c r="AJ29" s="6">
        <f t="shared" ref="AJ29:AJ39" si="98">+IF(AH29*24=9,15/24,9/24)</f>
        <v>0.375</v>
      </c>
      <c r="AK29" s="6">
        <f t="shared" ref="AK29:AK39" si="99">+IF(AH29*24=9,21/24,15/24)</f>
        <v>0.625</v>
      </c>
      <c r="AL29" s="6">
        <f t="shared" ref="AL29:AL39" si="100">+IF(AJ29*24=9,15/24,9/24)</f>
        <v>0.625</v>
      </c>
      <c r="AM29" s="6">
        <f t="shared" ref="AM29:AM39" si="101">+IF(AJ29*24=9,21/24,15/24)</f>
        <v>0.875</v>
      </c>
      <c r="AN29" s="6">
        <f t="shared" ref="AN29:AN39" si="102">+IF(AL29*24=9,15/24,9/24)</f>
        <v>0.375</v>
      </c>
      <c r="AO29" s="6">
        <f t="shared" ref="AO29:AO39" si="103">+IF(AL29*24=9,21/24,15/24)</f>
        <v>0.625</v>
      </c>
      <c r="AP29" s="6">
        <f t="shared" ref="AP29:AP39" si="104">+IF(AN29*24=9,15/24,9/24)</f>
        <v>0.625</v>
      </c>
      <c r="AQ29" s="6">
        <f t="shared" ref="AQ29:AQ39" si="105">+IF(AN29*24=9,21/24,15/24)</f>
        <v>0.875</v>
      </c>
      <c r="AR29" s="6">
        <f t="shared" ref="AR29:AR39" si="106">+IF(AP29*24=9,15/24,9/24)</f>
        <v>0.375</v>
      </c>
      <c r="AS29" s="6">
        <f t="shared" ref="AS29:AS39" si="107">+IF(AP29*24=9,21/24,15/24)</f>
        <v>0.625</v>
      </c>
      <c r="AT29" s="6">
        <f t="shared" ref="AT29:AT39" si="108">+IF(AR29*24=9,15/24,9/24)</f>
        <v>0.625</v>
      </c>
      <c r="AU29" s="6">
        <f t="shared" ref="AU29:AU39" si="109">+IF(AR29*24=9,21/24,15/24)</f>
        <v>0.875</v>
      </c>
    </row>
    <row r="30" spans="1:47">
      <c r="A30" t="s">
        <v>422</v>
      </c>
      <c r="B30">
        <v>4</v>
      </c>
      <c r="C30">
        <v>2</v>
      </c>
      <c r="AF30" s="6">
        <v>0.375</v>
      </c>
      <c r="AG30" s="6">
        <v>0.625</v>
      </c>
      <c r="AH30" s="6">
        <f t="shared" si="96"/>
        <v>0.625</v>
      </c>
      <c r="AI30" s="6">
        <f t="shared" si="97"/>
        <v>0.875</v>
      </c>
      <c r="AJ30" s="6">
        <f t="shared" si="98"/>
        <v>0.375</v>
      </c>
      <c r="AK30" s="6">
        <f t="shared" si="99"/>
        <v>0.625</v>
      </c>
      <c r="AL30" s="6">
        <f t="shared" si="100"/>
        <v>0.625</v>
      </c>
      <c r="AM30" s="6">
        <f t="shared" si="101"/>
        <v>0.875</v>
      </c>
      <c r="AN30" s="6">
        <f t="shared" si="102"/>
        <v>0.375</v>
      </c>
      <c r="AO30" s="6">
        <f t="shared" si="103"/>
        <v>0.625</v>
      </c>
      <c r="AP30" s="6">
        <f t="shared" si="104"/>
        <v>0.625</v>
      </c>
      <c r="AQ30" s="6">
        <f t="shared" si="105"/>
        <v>0.875</v>
      </c>
      <c r="AR30" s="6">
        <f t="shared" si="106"/>
        <v>0.375</v>
      </c>
      <c r="AS30" s="6">
        <f t="shared" si="107"/>
        <v>0.625</v>
      </c>
      <c r="AT30" s="6">
        <f t="shared" si="108"/>
        <v>0.625</v>
      </c>
      <c r="AU30" s="6">
        <f t="shared" si="109"/>
        <v>0.875</v>
      </c>
    </row>
    <row r="31" spans="1:47">
      <c r="A31" t="s">
        <v>423</v>
      </c>
      <c r="B31">
        <v>4</v>
      </c>
      <c r="C31">
        <v>2</v>
      </c>
      <c r="AF31" s="6">
        <v>0.625</v>
      </c>
      <c r="AG31" s="6">
        <v>0.875</v>
      </c>
      <c r="AH31" s="6">
        <f t="shared" si="96"/>
        <v>0.375</v>
      </c>
      <c r="AI31" s="6">
        <f t="shared" si="97"/>
        <v>0.625</v>
      </c>
      <c r="AJ31" s="6">
        <f t="shared" si="98"/>
        <v>0.625</v>
      </c>
      <c r="AK31" s="6">
        <f t="shared" si="99"/>
        <v>0.875</v>
      </c>
      <c r="AL31" s="6">
        <f t="shared" si="100"/>
        <v>0.375</v>
      </c>
      <c r="AM31" s="6">
        <f t="shared" si="101"/>
        <v>0.625</v>
      </c>
      <c r="AN31" s="6">
        <f t="shared" si="102"/>
        <v>0.625</v>
      </c>
      <c r="AO31" s="6">
        <f t="shared" si="103"/>
        <v>0.875</v>
      </c>
      <c r="AP31" s="6">
        <f t="shared" si="104"/>
        <v>0.375</v>
      </c>
      <c r="AQ31" s="6">
        <f t="shared" si="105"/>
        <v>0.625</v>
      </c>
      <c r="AR31" s="6">
        <f t="shared" si="106"/>
        <v>0.625</v>
      </c>
      <c r="AS31" s="6">
        <f t="shared" si="107"/>
        <v>0.875</v>
      </c>
      <c r="AT31" s="6">
        <f t="shared" si="108"/>
        <v>0.375</v>
      </c>
      <c r="AU31" s="6">
        <f t="shared" si="109"/>
        <v>0.625</v>
      </c>
    </row>
    <row r="32" spans="1:47">
      <c r="A32" t="s">
        <v>424</v>
      </c>
      <c r="B32">
        <v>4</v>
      </c>
      <c r="C32">
        <v>2</v>
      </c>
      <c r="AF32" s="6">
        <v>0.625</v>
      </c>
      <c r="AG32" s="6">
        <v>0.875</v>
      </c>
      <c r="AH32" s="6">
        <f t="shared" si="96"/>
        <v>0.375</v>
      </c>
      <c r="AI32" s="6">
        <f t="shared" si="97"/>
        <v>0.625</v>
      </c>
      <c r="AJ32" s="6">
        <f t="shared" si="98"/>
        <v>0.625</v>
      </c>
      <c r="AK32" s="6">
        <f t="shared" si="99"/>
        <v>0.875</v>
      </c>
      <c r="AL32" s="6">
        <f t="shared" si="100"/>
        <v>0.375</v>
      </c>
      <c r="AM32" s="6">
        <f t="shared" si="101"/>
        <v>0.625</v>
      </c>
      <c r="AN32" s="6">
        <f t="shared" si="102"/>
        <v>0.625</v>
      </c>
      <c r="AO32" s="6">
        <f t="shared" si="103"/>
        <v>0.875</v>
      </c>
      <c r="AP32" s="6">
        <f t="shared" si="104"/>
        <v>0.375</v>
      </c>
      <c r="AQ32" s="6">
        <f t="shared" si="105"/>
        <v>0.625</v>
      </c>
      <c r="AR32" s="6">
        <f t="shared" si="106"/>
        <v>0.625</v>
      </c>
      <c r="AS32" s="6">
        <f t="shared" si="107"/>
        <v>0.875</v>
      </c>
      <c r="AT32" s="6">
        <f t="shared" si="108"/>
        <v>0.375</v>
      </c>
      <c r="AU32" s="6">
        <f t="shared" si="109"/>
        <v>0.625</v>
      </c>
    </row>
    <row r="33" spans="1:47">
      <c r="A33" t="s">
        <v>425</v>
      </c>
      <c r="B33">
        <v>4</v>
      </c>
      <c r="C33">
        <v>2</v>
      </c>
      <c r="AF33" s="6">
        <v>0.375</v>
      </c>
      <c r="AG33" s="6">
        <v>0.625</v>
      </c>
      <c r="AH33" s="6">
        <f t="shared" si="96"/>
        <v>0.625</v>
      </c>
      <c r="AI33" s="6">
        <f t="shared" si="97"/>
        <v>0.875</v>
      </c>
      <c r="AJ33" s="6">
        <f t="shared" si="98"/>
        <v>0.375</v>
      </c>
      <c r="AK33" s="6">
        <f t="shared" si="99"/>
        <v>0.625</v>
      </c>
      <c r="AL33" s="6">
        <f t="shared" si="100"/>
        <v>0.625</v>
      </c>
      <c r="AM33" s="6">
        <f t="shared" si="101"/>
        <v>0.875</v>
      </c>
      <c r="AN33" s="6">
        <f t="shared" si="102"/>
        <v>0.375</v>
      </c>
      <c r="AO33" s="6">
        <f t="shared" si="103"/>
        <v>0.625</v>
      </c>
      <c r="AP33" s="6">
        <f t="shared" si="104"/>
        <v>0.625</v>
      </c>
      <c r="AQ33" s="6">
        <f t="shared" si="105"/>
        <v>0.875</v>
      </c>
      <c r="AR33" s="6">
        <f t="shared" si="106"/>
        <v>0.375</v>
      </c>
      <c r="AS33" s="6">
        <f t="shared" si="107"/>
        <v>0.625</v>
      </c>
      <c r="AT33" s="6">
        <f t="shared" si="108"/>
        <v>0.625</v>
      </c>
      <c r="AU33" s="6">
        <f t="shared" si="109"/>
        <v>0.875</v>
      </c>
    </row>
    <row r="34" spans="1:47">
      <c r="A34" t="s">
        <v>426</v>
      </c>
      <c r="B34">
        <v>4</v>
      </c>
      <c r="C34">
        <v>2</v>
      </c>
      <c r="AF34" s="6">
        <v>0.375</v>
      </c>
      <c r="AG34" s="6">
        <v>0.625</v>
      </c>
      <c r="AH34" s="6">
        <f t="shared" si="96"/>
        <v>0.625</v>
      </c>
      <c r="AI34" s="6">
        <f t="shared" si="97"/>
        <v>0.875</v>
      </c>
      <c r="AJ34" s="6">
        <f t="shared" si="98"/>
        <v>0.375</v>
      </c>
      <c r="AK34" s="6">
        <f t="shared" si="99"/>
        <v>0.625</v>
      </c>
      <c r="AL34" s="6">
        <f t="shared" si="100"/>
        <v>0.625</v>
      </c>
      <c r="AM34" s="6">
        <f t="shared" si="101"/>
        <v>0.875</v>
      </c>
      <c r="AN34" s="6">
        <f t="shared" si="102"/>
        <v>0.375</v>
      </c>
      <c r="AO34" s="6">
        <f t="shared" si="103"/>
        <v>0.625</v>
      </c>
      <c r="AP34" s="6">
        <f t="shared" si="104"/>
        <v>0.625</v>
      </c>
      <c r="AQ34" s="6">
        <f t="shared" si="105"/>
        <v>0.875</v>
      </c>
      <c r="AR34" s="6">
        <f t="shared" si="106"/>
        <v>0.375</v>
      </c>
      <c r="AS34" s="6">
        <f t="shared" si="107"/>
        <v>0.625</v>
      </c>
      <c r="AT34" s="6">
        <f t="shared" si="108"/>
        <v>0.625</v>
      </c>
      <c r="AU34" s="6">
        <f t="shared" si="109"/>
        <v>0.875</v>
      </c>
    </row>
    <row r="35" spans="1:47">
      <c r="A35" t="s">
        <v>427</v>
      </c>
      <c r="B35">
        <v>4</v>
      </c>
      <c r="C35">
        <v>2</v>
      </c>
      <c r="AF35" s="6">
        <v>0.625</v>
      </c>
      <c r="AG35" s="6">
        <v>0.875</v>
      </c>
      <c r="AH35" s="6">
        <f t="shared" si="96"/>
        <v>0.375</v>
      </c>
      <c r="AI35" s="6">
        <f t="shared" si="97"/>
        <v>0.625</v>
      </c>
      <c r="AJ35" s="6">
        <f t="shared" si="98"/>
        <v>0.625</v>
      </c>
      <c r="AK35" s="6">
        <f t="shared" si="99"/>
        <v>0.875</v>
      </c>
      <c r="AL35" s="6">
        <f t="shared" si="100"/>
        <v>0.375</v>
      </c>
      <c r="AM35" s="6">
        <f t="shared" si="101"/>
        <v>0.625</v>
      </c>
      <c r="AN35" s="6">
        <f t="shared" si="102"/>
        <v>0.625</v>
      </c>
      <c r="AO35" s="6">
        <f t="shared" si="103"/>
        <v>0.875</v>
      </c>
      <c r="AP35" s="6">
        <f t="shared" si="104"/>
        <v>0.375</v>
      </c>
      <c r="AQ35" s="6">
        <f t="shared" si="105"/>
        <v>0.625</v>
      </c>
      <c r="AR35" s="6">
        <f t="shared" si="106"/>
        <v>0.625</v>
      </c>
      <c r="AS35" s="6">
        <f t="shared" si="107"/>
        <v>0.875</v>
      </c>
      <c r="AT35" s="6">
        <f t="shared" si="108"/>
        <v>0.375</v>
      </c>
      <c r="AU35" s="6">
        <f t="shared" si="109"/>
        <v>0.625</v>
      </c>
    </row>
    <row r="36" spans="1:47">
      <c r="A36" t="s">
        <v>428</v>
      </c>
      <c r="B36">
        <v>4</v>
      </c>
      <c r="C36">
        <v>2</v>
      </c>
      <c r="AF36" s="6">
        <v>0.625</v>
      </c>
      <c r="AG36" s="6">
        <v>0.875</v>
      </c>
      <c r="AH36" s="6">
        <f t="shared" si="96"/>
        <v>0.375</v>
      </c>
      <c r="AI36" s="6">
        <f t="shared" si="97"/>
        <v>0.625</v>
      </c>
      <c r="AJ36" s="6">
        <f t="shared" si="98"/>
        <v>0.625</v>
      </c>
      <c r="AK36" s="6">
        <f t="shared" si="99"/>
        <v>0.875</v>
      </c>
      <c r="AL36" s="6">
        <f t="shared" si="100"/>
        <v>0.375</v>
      </c>
      <c r="AM36" s="6">
        <f t="shared" si="101"/>
        <v>0.625</v>
      </c>
      <c r="AN36" s="6">
        <f t="shared" si="102"/>
        <v>0.625</v>
      </c>
      <c r="AO36" s="6">
        <f t="shared" si="103"/>
        <v>0.875</v>
      </c>
      <c r="AP36" s="6">
        <f t="shared" si="104"/>
        <v>0.375</v>
      </c>
      <c r="AQ36" s="6">
        <f t="shared" si="105"/>
        <v>0.625</v>
      </c>
      <c r="AR36" s="6">
        <f t="shared" si="106"/>
        <v>0.625</v>
      </c>
      <c r="AS36" s="6">
        <f t="shared" si="107"/>
        <v>0.875</v>
      </c>
      <c r="AT36" s="6">
        <f t="shared" si="108"/>
        <v>0.375</v>
      </c>
      <c r="AU36" s="6">
        <f t="shared" si="109"/>
        <v>0.625</v>
      </c>
    </row>
    <row r="37" spans="1:47">
      <c r="A37" t="s">
        <v>431</v>
      </c>
      <c r="B37">
        <v>4</v>
      </c>
      <c r="C37">
        <v>2</v>
      </c>
      <c r="AF37" s="6">
        <v>0.625</v>
      </c>
      <c r="AG37" s="6">
        <v>0.875</v>
      </c>
      <c r="AH37" s="6">
        <f t="shared" si="96"/>
        <v>0.375</v>
      </c>
      <c r="AI37" s="6">
        <f t="shared" si="97"/>
        <v>0.625</v>
      </c>
      <c r="AJ37" s="6">
        <f t="shared" si="98"/>
        <v>0.625</v>
      </c>
      <c r="AK37" s="6">
        <f t="shared" si="99"/>
        <v>0.875</v>
      </c>
      <c r="AL37" s="6">
        <f t="shared" si="100"/>
        <v>0.375</v>
      </c>
      <c r="AM37" s="6">
        <f t="shared" si="101"/>
        <v>0.625</v>
      </c>
      <c r="AN37" s="6">
        <f t="shared" si="102"/>
        <v>0.625</v>
      </c>
      <c r="AO37" s="6">
        <f t="shared" si="103"/>
        <v>0.875</v>
      </c>
      <c r="AP37" s="6">
        <f t="shared" si="104"/>
        <v>0.375</v>
      </c>
      <c r="AQ37" s="6">
        <f t="shared" si="105"/>
        <v>0.625</v>
      </c>
      <c r="AR37" s="6">
        <f t="shared" si="106"/>
        <v>0.625</v>
      </c>
      <c r="AS37" s="6">
        <f t="shared" si="107"/>
        <v>0.875</v>
      </c>
      <c r="AT37" s="6">
        <f t="shared" si="108"/>
        <v>0.375</v>
      </c>
      <c r="AU37" s="6">
        <f t="shared" si="109"/>
        <v>0.625</v>
      </c>
    </row>
    <row r="38" spans="1:47">
      <c r="A38" t="s">
        <v>432</v>
      </c>
      <c r="B38">
        <v>4</v>
      </c>
      <c r="C38">
        <v>2</v>
      </c>
      <c r="AF38" s="6">
        <v>0.625</v>
      </c>
      <c r="AG38" s="6">
        <v>0.875</v>
      </c>
      <c r="AH38" s="6">
        <f t="shared" si="96"/>
        <v>0.375</v>
      </c>
      <c r="AI38" s="6">
        <f t="shared" si="97"/>
        <v>0.625</v>
      </c>
      <c r="AJ38" s="6">
        <f t="shared" si="98"/>
        <v>0.625</v>
      </c>
      <c r="AK38" s="6">
        <f t="shared" si="99"/>
        <v>0.875</v>
      </c>
      <c r="AL38" s="6">
        <f t="shared" si="100"/>
        <v>0.375</v>
      </c>
      <c r="AM38" s="6">
        <f t="shared" si="101"/>
        <v>0.625</v>
      </c>
      <c r="AN38" s="6">
        <f t="shared" si="102"/>
        <v>0.625</v>
      </c>
      <c r="AO38" s="6">
        <f t="shared" si="103"/>
        <v>0.875</v>
      </c>
      <c r="AP38" s="6">
        <f t="shared" si="104"/>
        <v>0.375</v>
      </c>
      <c r="AQ38" s="6">
        <f t="shared" si="105"/>
        <v>0.625</v>
      </c>
      <c r="AR38" s="6">
        <f t="shared" si="106"/>
        <v>0.625</v>
      </c>
      <c r="AS38" s="6">
        <f t="shared" si="107"/>
        <v>0.875</v>
      </c>
      <c r="AT38" s="6">
        <f t="shared" si="108"/>
        <v>0.375</v>
      </c>
      <c r="AU38" s="6">
        <f t="shared" si="109"/>
        <v>0.625</v>
      </c>
    </row>
    <row r="39" spans="1:47">
      <c r="A39" t="s">
        <v>433</v>
      </c>
      <c r="B39">
        <v>4</v>
      </c>
      <c r="C39">
        <v>2</v>
      </c>
      <c r="AF39" s="6">
        <v>0.625</v>
      </c>
      <c r="AG39" s="6">
        <v>0.875</v>
      </c>
      <c r="AH39" s="6">
        <f t="shared" si="96"/>
        <v>0.375</v>
      </c>
      <c r="AI39" s="6">
        <f t="shared" si="97"/>
        <v>0.625</v>
      </c>
      <c r="AJ39" s="6">
        <f t="shared" si="98"/>
        <v>0.625</v>
      </c>
      <c r="AK39" s="6">
        <f t="shared" si="99"/>
        <v>0.875</v>
      </c>
      <c r="AL39" s="6">
        <f t="shared" si="100"/>
        <v>0.375</v>
      </c>
      <c r="AM39" s="6">
        <f t="shared" si="101"/>
        <v>0.625</v>
      </c>
      <c r="AN39" s="6">
        <f t="shared" si="102"/>
        <v>0.625</v>
      </c>
      <c r="AO39" s="6">
        <f t="shared" si="103"/>
        <v>0.875</v>
      </c>
      <c r="AP39" s="6">
        <f t="shared" si="104"/>
        <v>0.375</v>
      </c>
      <c r="AQ39" s="6">
        <f t="shared" si="105"/>
        <v>0.625</v>
      </c>
      <c r="AR39" s="6">
        <f t="shared" si="106"/>
        <v>0.625</v>
      </c>
      <c r="AS39" s="6">
        <f t="shared" si="107"/>
        <v>0.875</v>
      </c>
      <c r="AT39" s="6">
        <f t="shared" si="108"/>
        <v>0.375</v>
      </c>
      <c r="AU39" s="6">
        <f t="shared" si="109"/>
        <v>0.625</v>
      </c>
    </row>
    <row r="40" spans="1:47">
      <c r="A40" t="s">
        <v>434</v>
      </c>
      <c r="B40">
        <v>4</v>
      </c>
      <c r="C40">
        <v>2</v>
      </c>
      <c r="AF40" s="16">
        <v>0.375</v>
      </c>
      <c r="AG40" s="16">
        <v>0.54166666666666663</v>
      </c>
      <c r="AH40" s="16">
        <v>0.375</v>
      </c>
      <c r="AI40" s="16">
        <v>0.54166666666666663</v>
      </c>
      <c r="AJ40" s="16">
        <v>0.375</v>
      </c>
      <c r="AK40" s="16">
        <v>0.54166666666666663</v>
      </c>
      <c r="AL40" s="16">
        <v>0.375</v>
      </c>
      <c r="AM40" s="16">
        <v>0.54166666666666663</v>
      </c>
      <c r="AN40" s="16">
        <v>0.375</v>
      </c>
      <c r="AO40" s="16">
        <v>0.54166666666666663</v>
      </c>
      <c r="AP40" s="16">
        <v>0.375</v>
      </c>
      <c r="AQ40" s="16">
        <v>0.54166666666666663</v>
      </c>
      <c r="AR40" s="16">
        <v>0.375</v>
      </c>
      <c r="AS40" s="16">
        <v>0.54166666666666663</v>
      </c>
      <c r="AT40" s="16">
        <v>0.375</v>
      </c>
      <c r="AU40" s="16">
        <v>0.54166666666666663</v>
      </c>
    </row>
    <row r="41" spans="1:47">
      <c r="A41" t="s">
        <v>458</v>
      </c>
      <c r="B41">
        <v>4</v>
      </c>
      <c r="C41">
        <v>2</v>
      </c>
      <c r="AF41" s="6">
        <v>0.375</v>
      </c>
      <c r="AG41" s="6">
        <v>0.625</v>
      </c>
      <c r="AH41" s="6">
        <f t="shared" ref="AH41:AH43" si="110">+IF(AF41*24=9,15/24,9/24)</f>
        <v>0.625</v>
      </c>
      <c r="AI41" s="6">
        <f t="shared" ref="AI41:AI43" si="111">+IF(AF41*24=9,21/24,15/24)</f>
        <v>0.875</v>
      </c>
      <c r="AJ41" s="6">
        <f t="shared" ref="AJ41:AJ43" si="112">+IF(AH41*24=9,15/24,9/24)</f>
        <v>0.375</v>
      </c>
      <c r="AK41" s="6">
        <f t="shared" ref="AK41:AK43" si="113">+IF(AH41*24=9,21/24,15/24)</f>
        <v>0.625</v>
      </c>
      <c r="AL41" s="6">
        <f t="shared" ref="AL41:AL43" si="114">+IF(AJ41*24=9,15/24,9/24)</f>
        <v>0.625</v>
      </c>
      <c r="AM41" s="6">
        <f t="shared" ref="AM41:AM43" si="115">+IF(AJ41*24=9,21/24,15/24)</f>
        <v>0.875</v>
      </c>
      <c r="AN41" s="6">
        <f t="shared" ref="AN41:AN43" si="116">+IF(AL41*24=9,15/24,9/24)</f>
        <v>0.375</v>
      </c>
      <c r="AO41" s="6">
        <f t="shared" ref="AO41:AO43" si="117">+IF(AL41*24=9,21/24,15/24)</f>
        <v>0.625</v>
      </c>
      <c r="AP41" s="6">
        <f t="shared" ref="AP41:AP43" si="118">+IF(AN41*24=9,15/24,9/24)</f>
        <v>0.625</v>
      </c>
      <c r="AQ41" s="6">
        <f t="shared" ref="AQ41:AQ43" si="119">+IF(AN41*24=9,21/24,15/24)</f>
        <v>0.875</v>
      </c>
      <c r="AR41" s="6">
        <f t="shared" ref="AR41:AR43" si="120">+IF(AP41*24=9,15/24,9/24)</f>
        <v>0.375</v>
      </c>
      <c r="AS41" s="6">
        <f t="shared" ref="AS41:AS43" si="121">+IF(AP41*24=9,21/24,15/24)</f>
        <v>0.625</v>
      </c>
      <c r="AT41" s="6">
        <f t="shared" ref="AT41:AT43" si="122">+IF(AR41*24=9,15/24,9/24)</f>
        <v>0.625</v>
      </c>
      <c r="AU41" s="6">
        <f t="shared" ref="AU41:AU43" si="123">+IF(AR41*24=9,21/24,15/24)</f>
        <v>0.875</v>
      </c>
    </row>
    <row r="42" spans="1:47">
      <c r="A42" t="s">
        <v>459</v>
      </c>
      <c r="B42">
        <v>4</v>
      </c>
      <c r="C42">
        <v>2</v>
      </c>
      <c r="AF42" s="6">
        <v>0.625</v>
      </c>
      <c r="AG42" s="6">
        <v>0.875</v>
      </c>
      <c r="AH42" s="6">
        <f t="shared" si="110"/>
        <v>0.375</v>
      </c>
      <c r="AI42" s="6">
        <f t="shared" si="111"/>
        <v>0.625</v>
      </c>
      <c r="AJ42" s="6">
        <f t="shared" si="112"/>
        <v>0.625</v>
      </c>
      <c r="AK42" s="6">
        <f t="shared" si="113"/>
        <v>0.875</v>
      </c>
      <c r="AL42" s="6">
        <f t="shared" si="114"/>
        <v>0.375</v>
      </c>
      <c r="AM42" s="6">
        <f t="shared" si="115"/>
        <v>0.625</v>
      </c>
      <c r="AN42" s="6">
        <f t="shared" si="116"/>
        <v>0.625</v>
      </c>
      <c r="AO42" s="6">
        <f t="shared" si="117"/>
        <v>0.875</v>
      </c>
      <c r="AP42" s="6">
        <f t="shared" si="118"/>
        <v>0.375</v>
      </c>
      <c r="AQ42" s="6">
        <f t="shared" si="119"/>
        <v>0.625</v>
      </c>
      <c r="AR42" s="6">
        <f t="shared" si="120"/>
        <v>0.625</v>
      </c>
      <c r="AS42" s="6">
        <f t="shared" si="121"/>
        <v>0.875</v>
      </c>
      <c r="AT42" s="6">
        <f t="shared" si="122"/>
        <v>0.375</v>
      </c>
      <c r="AU42" s="6">
        <f t="shared" si="123"/>
        <v>0.625</v>
      </c>
    </row>
    <row r="43" spans="1:47">
      <c r="A43" t="s">
        <v>460</v>
      </c>
      <c r="B43">
        <v>4</v>
      </c>
      <c r="C43">
        <v>2</v>
      </c>
      <c r="AF43" s="6">
        <v>0.625</v>
      </c>
      <c r="AG43" s="6">
        <v>0.875</v>
      </c>
      <c r="AH43" s="6">
        <f t="shared" si="110"/>
        <v>0.375</v>
      </c>
      <c r="AI43" s="6">
        <f t="shared" si="111"/>
        <v>0.625</v>
      </c>
      <c r="AJ43" s="6">
        <f t="shared" si="112"/>
        <v>0.625</v>
      </c>
      <c r="AK43" s="6">
        <f t="shared" si="113"/>
        <v>0.875</v>
      </c>
      <c r="AL43" s="6">
        <f t="shared" si="114"/>
        <v>0.375</v>
      </c>
      <c r="AM43" s="6">
        <f t="shared" si="115"/>
        <v>0.625</v>
      </c>
      <c r="AN43" s="6">
        <f t="shared" si="116"/>
        <v>0.625</v>
      </c>
      <c r="AO43" s="6">
        <f t="shared" si="117"/>
        <v>0.875</v>
      </c>
      <c r="AP43" s="6">
        <f t="shared" si="118"/>
        <v>0.375</v>
      </c>
      <c r="AQ43" s="6">
        <f t="shared" si="119"/>
        <v>0.625</v>
      </c>
      <c r="AR43" s="6">
        <f t="shared" si="120"/>
        <v>0.625</v>
      </c>
      <c r="AS43" s="6">
        <f t="shared" si="121"/>
        <v>0.875</v>
      </c>
      <c r="AT43" s="6">
        <f t="shared" si="122"/>
        <v>0.375</v>
      </c>
      <c r="AU43" s="6">
        <f t="shared" si="123"/>
        <v>0.625</v>
      </c>
    </row>
    <row r="44" spans="1:47">
      <c r="A44" t="s">
        <v>480</v>
      </c>
      <c r="B44">
        <v>4</v>
      </c>
      <c r="C44">
        <v>2</v>
      </c>
      <c r="AF44" s="6">
        <v>0.625</v>
      </c>
      <c r="AG44" s="6">
        <v>0.875</v>
      </c>
      <c r="AH44" s="6">
        <f>+IF(AF44*24=9,15/24,9/24)</f>
        <v>0.375</v>
      </c>
      <c r="AI44" s="6">
        <f>+IF(AF44*24=9,21/24,15/24)</f>
        <v>0.625</v>
      </c>
      <c r="AJ44" s="6">
        <f>+IF(AH44*24=9,15/24,9/24)</f>
        <v>0.625</v>
      </c>
      <c r="AK44" s="6">
        <f>+IF(AH44*24=9,21/24,15/24)</f>
        <v>0.875</v>
      </c>
      <c r="AL44" s="6">
        <f>+IF(AJ44*24=9,15/24,9/24)</f>
        <v>0.375</v>
      </c>
      <c r="AM44" s="6">
        <f>+IF(AJ44*24=9,21/24,15/24)</f>
        <v>0.625</v>
      </c>
      <c r="AN44" s="6">
        <f>+IF(AL44*24=9,15/24,9/24)</f>
        <v>0.625</v>
      </c>
      <c r="AO44" s="6">
        <f>+IF(AL44*24=9,21/24,15/24)</f>
        <v>0.875</v>
      </c>
      <c r="AP44" s="6">
        <f>+IF(AN44*24=9,15/24,9/24)</f>
        <v>0.375</v>
      </c>
      <c r="AQ44" s="6">
        <f>+IF(AN44*24=9,21/24,15/24)</f>
        <v>0.625</v>
      </c>
      <c r="AR44" s="6">
        <f>+IF(AP44*24=9,15/24,9/24)</f>
        <v>0.625</v>
      </c>
      <c r="AS44" s="6">
        <f>+IF(AP44*24=9,21/24,15/24)</f>
        <v>0.875</v>
      </c>
      <c r="AT44" s="6">
        <f>+IF(AR44*24=9,15/24,9/24)</f>
        <v>0.375</v>
      </c>
      <c r="AU44" s="6">
        <f>+IF(AR44*24=9,21/24,15/24)</f>
        <v>0.625</v>
      </c>
    </row>
    <row r="45" spans="1:47">
      <c r="A45" t="s">
        <v>481</v>
      </c>
      <c r="B45">
        <v>4</v>
      </c>
      <c r="C45">
        <v>2</v>
      </c>
      <c r="AF45" s="16">
        <v>0.375</v>
      </c>
      <c r="AG45" s="16">
        <v>0.54166666666666663</v>
      </c>
      <c r="AH45" s="16">
        <v>0.375</v>
      </c>
      <c r="AI45" s="16">
        <v>0.54166666666666663</v>
      </c>
      <c r="AJ45" s="16">
        <v>0.375</v>
      </c>
      <c r="AK45" s="16">
        <v>0.54166666666666663</v>
      </c>
      <c r="AL45" s="16">
        <v>0.375</v>
      </c>
      <c r="AM45" s="16">
        <v>0.54166666666666663</v>
      </c>
      <c r="AN45" s="16">
        <v>0.375</v>
      </c>
      <c r="AO45" s="16">
        <v>0.54166666666666663</v>
      </c>
      <c r="AP45" s="16">
        <v>0.375</v>
      </c>
      <c r="AQ45" s="16">
        <v>0.54166666666666663</v>
      </c>
      <c r="AR45" s="16">
        <v>0.375</v>
      </c>
      <c r="AS45" s="16">
        <v>0.54166666666666663</v>
      </c>
      <c r="AT45" s="16">
        <v>0.375</v>
      </c>
      <c r="AU45" s="16">
        <v>0.54166666666666663</v>
      </c>
    </row>
    <row r="46" spans="1:47">
      <c r="A46" t="s">
        <v>482</v>
      </c>
      <c r="B46">
        <v>4</v>
      </c>
      <c r="C46">
        <v>2</v>
      </c>
      <c r="AF46" s="16">
        <v>0.375</v>
      </c>
      <c r="AG46" s="16">
        <v>0.54166666666666663</v>
      </c>
      <c r="AH46" s="16">
        <v>0.375</v>
      </c>
      <c r="AI46" s="16">
        <v>0.54166666666666663</v>
      </c>
      <c r="AJ46" s="16">
        <v>0.375</v>
      </c>
      <c r="AK46" s="16">
        <v>0.54166666666666663</v>
      </c>
      <c r="AL46" s="16">
        <v>0.375</v>
      </c>
      <c r="AM46" s="16">
        <v>0.54166666666666663</v>
      </c>
      <c r="AN46" s="16">
        <v>0.375</v>
      </c>
      <c r="AO46" s="16">
        <v>0.54166666666666663</v>
      </c>
      <c r="AP46" s="16">
        <v>0.375</v>
      </c>
      <c r="AQ46" s="16">
        <v>0.54166666666666663</v>
      </c>
      <c r="AR46" s="16">
        <v>0.375</v>
      </c>
      <c r="AS46" s="16">
        <v>0.54166666666666663</v>
      </c>
      <c r="AT46" s="16">
        <v>0.375</v>
      </c>
      <c r="AU46" s="16">
        <v>0.54166666666666663</v>
      </c>
    </row>
    <row r="47" spans="1:47">
      <c r="A47" t="s">
        <v>483</v>
      </c>
      <c r="B47">
        <v>4</v>
      </c>
      <c r="C47">
        <v>2</v>
      </c>
      <c r="AF47" s="16">
        <v>0.375</v>
      </c>
      <c r="AG47" s="16">
        <v>0.54166666666666663</v>
      </c>
      <c r="AH47" s="16">
        <v>0.375</v>
      </c>
      <c r="AI47" s="16">
        <v>0.54166666666666663</v>
      </c>
      <c r="AJ47" s="16">
        <v>0.375</v>
      </c>
      <c r="AK47" s="16">
        <v>0.54166666666666663</v>
      </c>
      <c r="AL47" s="16">
        <v>0.375</v>
      </c>
      <c r="AM47" s="16">
        <v>0.54166666666666663</v>
      </c>
      <c r="AN47" s="16">
        <v>0.375</v>
      </c>
      <c r="AO47" s="16">
        <v>0.54166666666666663</v>
      </c>
      <c r="AP47" s="16">
        <v>0.375</v>
      </c>
      <c r="AQ47" s="16">
        <v>0.54166666666666663</v>
      </c>
      <c r="AR47" s="16">
        <v>0.375</v>
      </c>
      <c r="AS47" s="16">
        <v>0.54166666666666663</v>
      </c>
      <c r="AT47" s="16">
        <v>0.375</v>
      </c>
      <c r="AU47" s="16">
        <v>0.54166666666666663</v>
      </c>
    </row>
    <row r="48" spans="1:47">
      <c r="A48" t="s">
        <v>484</v>
      </c>
      <c r="B48">
        <v>4</v>
      </c>
      <c r="C48">
        <v>2</v>
      </c>
      <c r="AF48" s="16">
        <v>0.375</v>
      </c>
      <c r="AG48" s="16">
        <v>0.54166666666666663</v>
      </c>
      <c r="AH48" s="16">
        <v>0.375</v>
      </c>
      <c r="AI48" s="16">
        <v>0.54166666666666663</v>
      </c>
      <c r="AJ48" s="16">
        <v>0.375</v>
      </c>
      <c r="AK48" s="16">
        <v>0.54166666666666663</v>
      </c>
      <c r="AL48" s="16">
        <v>0.375</v>
      </c>
      <c r="AM48" s="16">
        <v>0.54166666666666663</v>
      </c>
      <c r="AN48" s="16">
        <v>0.375</v>
      </c>
      <c r="AO48" s="16">
        <v>0.54166666666666663</v>
      </c>
      <c r="AP48" s="16">
        <v>0.375</v>
      </c>
      <c r="AQ48" s="16">
        <v>0.54166666666666663</v>
      </c>
      <c r="AR48" s="16">
        <v>0.375</v>
      </c>
      <c r="AS48" s="16">
        <v>0.54166666666666663</v>
      </c>
      <c r="AT48" s="16">
        <v>0.375</v>
      </c>
      <c r="AU48" s="16">
        <v>0.54166666666666663</v>
      </c>
    </row>
    <row r="49" spans="1:47">
      <c r="A49" t="s">
        <v>485</v>
      </c>
      <c r="B49">
        <v>4</v>
      </c>
      <c r="C49">
        <v>2</v>
      </c>
      <c r="AF49" s="6">
        <v>0.375</v>
      </c>
      <c r="AG49" s="6">
        <v>0.625</v>
      </c>
      <c r="AH49" s="6">
        <f t="shared" ref="AH49:AH55" si="124">+IF(AF49*24=9,15/24,9/24)</f>
        <v>0.625</v>
      </c>
      <c r="AI49" s="6">
        <f t="shared" ref="AI49:AI55" si="125">+IF(AF49*24=9,21/24,15/24)</f>
        <v>0.875</v>
      </c>
      <c r="AJ49" s="6">
        <f t="shared" ref="AJ49:AJ55" si="126">+IF(AH49*24=9,15/24,9/24)</f>
        <v>0.375</v>
      </c>
      <c r="AK49" s="6">
        <f t="shared" ref="AK49:AK55" si="127">+IF(AH49*24=9,21/24,15/24)</f>
        <v>0.625</v>
      </c>
      <c r="AL49" s="6">
        <f t="shared" ref="AL49:AL55" si="128">+IF(AJ49*24=9,15/24,9/24)</f>
        <v>0.625</v>
      </c>
      <c r="AM49" s="6">
        <f t="shared" ref="AM49:AM55" si="129">+IF(AJ49*24=9,21/24,15/24)</f>
        <v>0.875</v>
      </c>
      <c r="AN49" s="6">
        <f t="shared" ref="AN49:AN55" si="130">+IF(AL49*24=9,15/24,9/24)</f>
        <v>0.375</v>
      </c>
      <c r="AO49" s="6">
        <f t="shared" ref="AO49:AO55" si="131">+IF(AL49*24=9,21/24,15/24)</f>
        <v>0.625</v>
      </c>
      <c r="AP49" s="6">
        <f t="shared" ref="AP49:AP55" si="132">+IF(AN49*24=9,15/24,9/24)</f>
        <v>0.625</v>
      </c>
      <c r="AQ49" s="6">
        <f t="shared" ref="AQ49:AQ55" si="133">+IF(AN49*24=9,21/24,15/24)</f>
        <v>0.875</v>
      </c>
      <c r="AR49" s="6">
        <f t="shared" ref="AR49:AR55" si="134">+IF(AP49*24=9,15/24,9/24)</f>
        <v>0.375</v>
      </c>
      <c r="AS49" s="6">
        <f t="shared" ref="AS49:AS55" si="135">+IF(AP49*24=9,21/24,15/24)</f>
        <v>0.625</v>
      </c>
      <c r="AT49" s="6">
        <f t="shared" ref="AT49:AT55" si="136">+IF(AR49*24=9,15/24,9/24)</f>
        <v>0.625</v>
      </c>
      <c r="AU49" s="6">
        <f t="shared" ref="AU49:AU55" si="137">+IF(AR49*24=9,21/24,15/24)</f>
        <v>0.875</v>
      </c>
    </row>
    <row r="50" spans="1:47">
      <c r="A50" t="s">
        <v>487</v>
      </c>
      <c r="B50">
        <v>4</v>
      </c>
      <c r="C50">
        <v>2</v>
      </c>
      <c r="AF50" s="6">
        <v>0.625</v>
      </c>
      <c r="AG50" s="6">
        <v>0.875</v>
      </c>
      <c r="AH50" s="6">
        <f t="shared" si="124"/>
        <v>0.375</v>
      </c>
      <c r="AI50" s="6">
        <f t="shared" si="125"/>
        <v>0.625</v>
      </c>
      <c r="AJ50" s="6">
        <f t="shared" si="126"/>
        <v>0.625</v>
      </c>
      <c r="AK50" s="6">
        <f t="shared" si="127"/>
        <v>0.875</v>
      </c>
      <c r="AL50" s="6">
        <f t="shared" si="128"/>
        <v>0.375</v>
      </c>
      <c r="AM50" s="6">
        <f t="shared" si="129"/>
        <v>0.625</v>
      </c>
      <c r="AN50" s="6">
        <f t="shared" si="130"/>
        <v>0.625</v>
      </c>
      <c r="AO50" s="6">
        <f t="shared" si="131"/>
        <v>0.875</v>
      </c>
      <c r="AP50" s="6">
        <f t="shared" si="132"/>
        <v>0.375</v>
      </c>
      <c r="AQ50" s="6">
        <f t="shared" si="133"/>
        <v>0.625</v>
      </c>
      <c r="AR50" s="6">
        <f t="shared" si="134"/>
        <v>0.625</v>
      </c>
      <c r="AS50" s="6">
        <f t="shared" si="135"/>
        <v>0.875</v>
      </c>
      <c r="AT50" s="6">
        <f t="shared" si="136"/>
        <v>0.375</v>
      </c>
      <c r="AU50" s="6">
        <f t="shared" si="137"/>
        <v>0.625</v>
      </c>
    </row>
    <row r="51" spans="1:47">
      <c r="A51" t="s">
        <v>488</v>
      </c>
      <c r="B51">
        <v>4</v>
      </c>
      <c r="C51">
        <v>2</v>
      </c>
      <c r="AF51" s="6">
        <v>0.375</v>
      </c>
      <c r="AG51" s="6">
        <v>0.625</v>
      </c>
      <c r="AH51" s="6">
        <f t="shared" si="124"/>
        <v>0.625</v>
      </c>
      <c r="AI51" s="6">
        <f t="shared" si="125"/>
        <v>0.875</v>
      </c>
      <c r="AJ51" s="6">
        <f t="shared" si="126"/>
        <v>0.375</v>
      </c>
      <c r="AK51" s="6">
        <f t="shared" si="127"/>
        <v>0.625</v>
      </c>
      <c r="AL51" s="6">
        <f t="shared" si="128"/>
        <v>0.625</v>
      </c>
      <c r="AM51" s="6">
        <f t="shared" si="129"/>
        <v>0.875</v>
      </c>
      <c r="AN51" s="6">
        <f t="shared" si="130"/>
        <v>0.375</v>
      </c>
      <c r="AO51" s="6">
        <f t="shared" si="131"/>
        <v>0.625</v>
      </c>
      <c r="AP51" s="6">
        <f t="shared" si="132"/>
        <v>0.625</v>
      </c>
      <c r="AQ51" s="6">
        <f t="shared" si="133"/>
        <v>0.875</v>
      </c>
      <c r="AR51" s="6">
        <f t="shared" si="134"/>
        <v>0.375</v>
      </c>
      <c r="AS51" s="6">
        <f t="shared" si="135"/>
        <v>0.625</v>
      </c>
      <c r="AT51" s="6">
        <f t="shared" si="136"/>
        <v>0.625</v>
      </c>
      <c r="AU51" s="6">
        <f t="shared" si="137"/>
        <v>0.875</v>
      </c>
    </row>
    <row r="52" spans="1:47">
      <c r="A52" t="s">
        <v>489</v>
      </c>
      <c r="B52">
        <v>4</v>
      </c>
      <c r="C52">
        <v>2</v>
      </c>
      <c r="AF52" s="6">
        <v>0.625</v>
      </c>
      <c r="AG52" s="6">
        <v>0.875</v>
      </c>
      <c r="AH52" s="6">
        <f t="shared" si="124"/>
        <v>0.375</v>
      </c>
      <c r="AI52" s="6">
        <f t="shared" si="125"/>
        <v>0.625</v>
      </c>
      <c r="AJ52" s="6">
        <f t="shared" si="126"/>
        <v>0.625</v>
      </c>
      <c r="AK52" s="6">
        <f t="shared" si="127"/>
        <v>0.875</v>
      </c>
      <c r="AL52" s="6">
        <f t="shared" si="128"/>
        <v>0.375</v>
      </c>
      <c r="AM52" s="6">
        <f t="shared" si="129"/>
        <v>0.625</v>
      </c>
      <c r="AN52" s="6">
        <f t="shared" si="130"/>
        <v>0.625</v>
      </c>
      <c r="AO52" s="6">
        <f t="shared" si="131"/>
        <v>0.875</v>
      </c>
      <c r="AP52" s="6">
        <f t="shared" si="132"/>
        <v>0.375</v>
      </c>
      <c r="AQ52" s="6">
        <f t="shared" si="133"/>
        <v>0.625</v>
      </c>
      <c r="AR52" s="6">
        <f t="shared" si="134"/>
        <v>0.625</v>
      </c>
      <c r="AS52" s="6">
        <f t="shared" si="135"/>
        <v>0.875</v>
      </c>
      <c r="AT52" s="6">
        <f t="shared" si="136"/>
        <v>0.375</v>
      </c>
      <c r="AU52" s="6">
        <f t="shared" si="137"/>
        <v>0.625</v>
      </c>
    </row>
    <row r="53" spans="1:47">
      <c r="A53" t="s">
        <v>606</v>
      </c>
      <c r="B53">
        <v>4</v>
      </c>
      <c r="C53">
        <v>2</v>
      </c>
      <c r="AF53" s="6">
        <v>0.375</v>
      </c>
      <c r="AG53" s="6">
        <v>0.625</v>
      </c>
      <c r="AH53" s="6">
        <f t="shared" si="124"/>
        <v>0.625</v>
      </c>
      <c r="AI53" s="6">
        <f t="shared" si="125"/>
        <v>0.875</v>
      </c>
      <c r="AJ53" s="6">
        <f t="shared" si="126"/>
        <v>0.375</v>
      </c>
      <c r="AK53" s="6">
        <f t="shared" si="127"/>
        <v>0.625</v>
      </c>
      <c r="AL53" s="6">
        <f t="shared" si="128"/>
        <v>0.625</v>
      </c>
      <c r="AM53" s="6">
        <f t="shared" si="129"/>
        <v>0.875</v>
      </c>
      <c r="AN53" s="6">
        <f t="shared" si="130"/>
        <v>0.375</v>
      </c>
      <c r="AO53" s="6">
        <f t="shared" si="131"/>
        <v>0.625</v>
      </c>
      <c r="AP53" s="6">
        <f t="shared" si="132"/>
        <v>0.625</v>
      </c>
      <c r="AQ53" s="6">
        <f t="shared" si="133"/>
        <v>0.875</v>
      </c>
      <c r="AR53" s="6">
        <f t="shared" si="134"/>
        <v>0.375</v>
      </c>
      <c r="AS53" s="6">
        <f t="shared" si="135"/>
        <v>0.625</v>
      </c>
      <c r="AT53" s="6">
        <f t="shared" si="136"/>
        <v>0.625</v>
      </c>
      <c r="AU53" s="6">
        <f t="shared" si="137"/>
        <v>0.875</v>
      </c>
    </row>
    <row r="54" spans="1:47">
      <c r="A54" t="s">
        <v>492</v>
      </c>
      <c r="B54">
        <v>4</v>
      </c>
      <c r="C54">
        <v>2</v>
      </c>
      <c r="AF54" s="6">
        <v>0.625</v>
      </c>
      <c r="AG54" s="6">
        <v>0.875</v>
      </c>
      <c r="AH54" s="6">
        <f t="shared" si="124"/>
        <v>0.375</v>
      </c>
      <c r="AI54" s="6">
        <f t="shared" si="125"/>
        <v>0.625</v>
      </c>
      <c r="AJ54" s="6">
        <f t="shared" si="126"/>
        <v>0.625</v>
      </c>
      <c r="AK54" s="6">
        <f t="shared" si="127"/>
        <v>0.875</v>
      </c>
      <c r="AL54" s="6">
        <f t="shared" si="128"/>
        <v>0.375</v>
      </c>
      <c r="AM54" s="6">
        <f t="shared" si="129"/>
        <v>0.625</v>
      </c>
      <c r="AN54" s="6">
        <f t="shared" si="130"/>
        <v>0.625</v>
      </c>
      <c r="AO54" s="6">
        <f t="shared" si="131"/>
        <v>0.875</v>
      </c>
      <c r="AP54" s="6">
        <f t="shared" si="132"/>
        <v>0.375</v>
      </c>
      <c r="AQ54" s="6">
        <f t="shared" si="133"/>
        <v>0.625</v>
      </c>
      <c r="AR54" s="6">
        <f t="shared" si="134"/>
        <v>0.625</v>
      </c>
      <c r="AS54" s="6">
        <f t="shared" si="135"/>
        <v>0.875</v>
      </c>
      <c r="AT54" s="6">
        <f t="shared" si="136"/>
        <v>0.375</v>
      </c>
      <c r="AU54" s="6">
        <f t="shared" si="137"/>
        <v>0.625</v>
      </c>
    </row>
    <row r="55" spans="1:47">
      <c r="A55" t="s">
        <v>493</v>
      </c>
      <c r="B55">
        <v>4</v>
      </c>
      <c r="C55">
        <v>2</v>
      </c>
      <c r="AF55" s="6">
        <v>0.375</v>
      </c>
      <c r="AG55" s="6">
        <v>0.625</v>
      </c>
      <c r="AH55" s="6">
        <f t="shared" si="124"/>
        <v>0.625</v>
      </c>
      <c r="AI55" s="6">
        <f t="shared" si="125"/>
        <v>0.875</v>
      </c>
      <c r="AJ55" s="6">
        <f t="shared" si="126"/>
        <v>0.375</v>
      </c>
      <c r="AK55" s="6">
        <f t="shared" si="127"/>
        <v>0.625</v>
      </c>
      <c r="AL55" s="6">
        <f t="shared" si="128"/>
        <v>0.625</v>
      </c>
      <c r="AM55" s="6">
        <f t="shared" si="129"/>
        <v>0.875</v>
      </c>
      <c r="AN55" s="6">
        <f t="shared" si="130"/>
        <v>0.375</v>
      </c>
      <c r="AO55" s="6">
        <f t="shared" si="131"/>
        <v>0.625</v>
      </c>
      <c r="AP55" s="6">
        <f t="shared" si="132"/>
        <v>0.625</v>
      </c>
      <c r="AQ55" s="6">
        <f t="shared" si="133"/>
        <v>0.875</v>
      </c>
      <c r="AR55" s="6">
        <f t="shared" si="134"/>
        <v>0.375</v>
      </c>
      <c r="AS55" s="6">
        <f t="shared" si="135"/>
        <v>0.625</v>
      </c>
      <c r="AT55" s="6">
        <f t="shared" si="136"/>
        <v>0.625</v>
      </c>
      <c r="AU55" s="6">
        <f t="shared" si="137"/>
        <v>0.875</v>
      </c>
    </row>
    <row r="56" spans="1:47">
      <c r="A56" t="s">
        <v>494</v>
      </c>
      <c r="B56">
        <v>4</v>
      </c>
      <c r="C56">
        <v>2</v>
      </c>
      <c r="AF56" s="16">
        <v>0.375</v>
      </c>
      <c r="AG56" s="16">
        <v>0.54166666666666663</v>
      </c>
      <c r="AH56" s="16">
        <v>0.375</v>
      </c>
      <c r="AI56" s="16">
        <v>0.54166666666666663</v>
      </c>
      <c r="AJ56" s="16">
        <v>0.375</v>
      </c>
      <c r="AK56" s="16">
        <v>0.54166666666666663</v>
      </c>
      <c r="AL56" s="16">
        <v>0.375</v>
      </c>
      <c r="AM56" s="16">
        <v>0.54166666666666663</v>
      </c>
      <c r="AN56" s="16">
        <v>0.375</v>
      </c>
      <c r="AO56" s="16">
        <v>0.54166666666666663</v>
      </c>
      <c r="AP56" s="16">
        <v>0.375</v>
      </c>
      <c r="AQ56" s="16">
        <v>0.54166666666666663</v>
      </c>
      <c r="AR56" s="16">
        <v>0.375</v>
      </c>
      <c r="AS56" s="16">
        <v>0.54166666666666663</v>
      </c>
      <c r="AT56" s="16">
        <v>0.375</v>
      </c>
      <c r="AU56" s="16">
        <v>0.54166666666666663</v>
      </c>
    </row>
    <row r="57" spans="1:47">
      <c r="A57" t="s">
        <v>495</v>
      </c>
      <c r="B57">
        <v>4</v>
      </c>
      <c r="C57">
        <v>2</v>
      </c>
      <c r="AF57" s="6">
        <v>0.375</v>
      </c>
      <c r="AG57" s="6">
        <v>0.625</v>
      </c>
      <c r="AH57" s="6">
        <f t="shared" ref="AH57:AH64" si="138">+IF(AF57*24=9,15/24,9/24)</f>
        <v>0.625</v>
      </c>
      <c r="AI57" s="6">
        <f t="shared" ref="AI57:AI64" si="139">+IF(AF57*24=9,21/24,15/24)</f>
        <v>0.875</v>
      </c>
      <c r="AJ57" s="6">
        <f t="shared" ref="AJ57:AJ64" si="140">+IF(AH57*24=9,15/24,9/24)</f>
        <v>0.375</v>
      </c>
      <c r="AK57" s="6">
        <f t="shared" ref="AK57:AK64" si="141">+IF(AH57*24=9,21/24,15/24)</f>
        <v>0.625</v>
      </c>
      <c r="AL57" s="6">
        <f t="shared" ref="AL57:AL64" si="142">+IF(AJ57*24=9,15/24,9/24)</f>
        <v>0.625</v>
      </c>
      <c r="AM57" s="6">
        <f t="shared" ref="AM57:AM64" si="143">+IF(AJ57*24=9,21/24,15/24)</f>
        <v>0.875</v>
      </c>
      <c r="AN57" s="6">
        <f t="shared" ref="AN57:AN64" si="144">+IF(AL57*24=9,15/24,9/24)</f>
        <v>0.375</v>
      </c>
      <c r="AO57" s="6">
        <f t="shared" ref="AO57:AO64" si="145">+IF(AL57*24=9,21/24,15/24)</f>
        <v>0.625</v>
      </c>
      <c r="AP57" s="6">
        <f t="shared" ref="AP57:AP64" si="146">+IF(AN57*24=9,15/24,9/24)</f>
        <v>0.625</v>
      </c>
      <c r="AQ57" s="6">
        <f t="shared" ref="AQ57:AQ64" si="147">+IF(AN57*24=9,21/24,15/24)</f>
        <v>0.875</v>
      </c>
      <c r="AR57" s="6">
        <f t="shared" ref="AR57:AR64" si="148">+IF(AP57*24=9,15/24,9/24)</f>
        <v>0.375</v>
      </c>
      <c r="AS57" s="6">
        <f t="shared" ref="AS57:AS64" si="149">+IF(AP57*24=9,21/24,15/24)</f>
        <v>0.625</v>
      </c>
      <c r="AT57" s="6">
        <f t="shared" ref="AT57:AT64" si="150">+IF(AR57*24=9,15/24,9/24)</f>
        <v>0.625</v>
      </c>
      <c r="AU57" s="6">
        <f t="shared" ref="AU57:AU64" si="151">+IF(AR57*24=9,21/24,15/24)</f>
        <v>0.875</v>
      </c>
    </row>
    <row r="58" spans="1:47">
      <c r="A58" t="s">
        <v>499</v>
      </c>
      <c r="B58">
        <v>4</v>
      </c>
      <c r="C58">
        <v>2</v>
      </c>
      <c r="AF58" s="6">
        <v>0.625</v>
      </c>
      <c r="AG58" s="6">
        <v>0.875</v>
      </c>
      <c r="AH58" s="6">
        <f t="shared" si="138"/>
        <v>0.375</v>
      </c>
      <c r="AI58" s="6">
        <f t="shared" si="139"/>
        <v>0.625</v>
      </c>
      <c r="AJ58" s="6">
        <f t="shared" si="140"/>
        <v>0.625</v>
      </c>
      <c r="AK58" s="6">
        <f t="shared" si="141"/>
        <v>0.875</v>
      </c>
      <c r="AL58" s="6">
        <f t="shared" si="142"/>
        <v>0.375</v>
      </c>
      <c r="AM58" s="6">
        <f t="shared" si="143"/>
        <v>0.625</v>
      </c>
      <c r="AN58" s="6">
        <f t="shared" si="144"/>
        <v>0.625</v>
      </c>
      <c r="AO58" s="6">
        <f t="shared" si="145"/>
        <v>0.875</v>
      </c>
      <c r="AP58" s="6">
        <f t="shared" si="146"/>
        <v>0.375</v>
      </c>
      <c r="AQ58" s="6">
        <f t="shared" si="147"/>
        <v>0.625</v>
      </c>
      <c r="AR58" s="6">
        <f t="shared" si="148"/>
        <v>0.625</v>
      </c>
      <c r="AS58" s="6">
        <f t="shared" si="149"/>
        <v>0.875</v>
      </c>
      <c r="AT58" s="6">
        <f t="shared" si="150"/>
        <v>0.375</v>
      </c>
      <c r="AU58" s="6">
        <f t="shared" si="151"/>
        <v>0.625</v>
      </c>
    </row>
    <row r="59" spans="1:47">
      <c r="A59" t="s">
        <v>503</v>
      </c>
      <c r="B59">
        <v>4</v>
      </c>
      <c r="C59">
        <v>2</v>
      </c>
      <c r="AF59" s="6">
        <v>0.625</v>
      </c>
      <c r="AG59" s="6">
        <v>0.875</v>
      </c>
      <c r="AH59" s="6">
        <f t="shared" si="138"/>
        <v>0.375</v>
      </c>
      <c r="AI59" s="6">
        <f t="shared" si="139"/>
        <v>0.625</v>
      </c>
      <c r="AJ59" s="6">
        <f t="shared" si="140"/>
        <v>0.625</v>
      </c>
      <c r="AK59" s="6">
        <f t="shared" si="141"/>
        <v>0.875</v>
      </c>
      <c r="AL59" s="6">
        <f t="shared" si="142"/>
        <v>0.375</v>
      </c>
      <c r="AM59" s="6">
        <f t="shared" si="143"/>
        <v>0.625</v>
      </c>
      <c r="AN59" s="6">
        <f t="shared" si="144"/>
        <v>0.625</v>
      </c>
      <c r="AO59" s="6">
        <f t="shared" si="145"/>
        <v>0.875</v>
      </c>
      <c r="AP59" s="6">
        <f t="shared" si="146"/>
        <v>0.375</v>
      </c>
      <c r="AQ59" s="6">
        <f t="shared" si="147"/>
        <v>0.625</v>
      </c>
      <c r="AR59" s="6">
        <f t="shared" si="148"/>
        <v>0.625</v>
      </c>
      <c r="AS59" s="6">
        <f t="shared" si="149"/>
        <v>0.875</v>
      </c>
      <c r="AT59" s="6">
        <f t="shared" si="150"/>
        <v>0.375</v>
      </c>
      <c r="AU59" s="6">
        <f t="shared" si="151"/>
        <v>0.625</v>
      </c>
    </row>
    <row r="60" spans="1:47">
      <c r="A60" t="s">
        <v>505</v>
      </c>
      <c r="B60">
        <v>4</v>
      </c>
      <c r="C60">
        <v>2</v>
      </c>
      <c r="AF60" s="6">
        <v>0.625</v>
      </c>
      <c r="AG60" s="6">
        <v>0.875</v>
      </c>
      <c r="AH60" s="6">
        <f t="shared" si="138"/>
        <v>0.375</v>
      </c>
      <c r="AI60" s="6">
        <f t="shared" si="139"/>
        <v>0.625</v>
      </c>
      <c r="AJ60" s="6">
        <f t="shared" si="140"/>
        <v>0.625</v>
      </c>
      <c r="AK60" s="6">
        <f t="shared" si="141"/>
        <v>0.875</v>
      </c>
      <c r="AL60" s="6">
        <f t="shared" si="142"/>
        <v>0.375</v>
      </c>
      <c r="AM60" s="6">
        <f t="shared" si="143"/>
        <v>0.625</v>
      </c>
      <c r="AN60" s="6">
        <f t="shared" si="144"/>
        <v>0.625</v>
      </c>
      <c r="AO60" s="6">
        <f t="shared" si="145"/>
        <v>0.875</v>
      </c>
      <c r="AP60" s="6">
        <f t="shared" si="146"/>
        <v>0.375</v>
      </c>
      <c r="AQ60" s="6">
        <f t="shared" si="147"/>
        <v>0.625</v>
      </c>
      <c r="AR60" s="6">
        <f t="shared" si="148"/>
        <v>0.625</v>
      </c>
      <c r="AS60" s="6">
        <f t="shared" si="149"/>
        <v>0.875</v>
      </c>
      <c r="AT60" s="6">
        <f t="shared" si="150"/>
        <v>0.375</v>
      </c>
      <c r="AU60" s="6">
        <f t="shared" si="151"/>
        <v>0.625</v>
      </c>
    </row>
    <row r="61" spans="1:47">
      <c r="A61" t="s">
        <v>506</v>
      </c>
      <c r="B61">
        <v>4</v>
      </c>
      <c r="C61">
        <v>2</v>
      </c>
      <c r="AF61" s="6">
        <v>0.625</v>
      </c>
      <c r="AG61" s="6">
        <v>0.875</v>
      </c>
      <c r="AH61" s="6">
        <f t="shared" si="138"/>
        <v>0.375</v>
      </c>
      <c r="AI61" s="6">
        <f t="shared" si="139"/>
        <v>0.625</v>
      </c>
      <c r="AJ61" s="6">
        <f t="shared" si="140"/>
        <v>0.625</v>
      </c>
      <c r="AK61" s="6">
        <f t="shared" si="141"/>
        <v>0.875</v>
      </c>
      <c r="AL61" s="6">
        <f t="shared" si="142"/>
        <v>0.375</v>
      </c>
      <c r="AM61" s="6">
        <f t="shared" si="143"/>
        <v>0.625</v>
      </c>
      <c r="AN61" s="6">
        <f t="shared" si="144"/>
        <v>0.625</v>
      </c>
      <c r="AO61" s="6">
        <f t="shared" si="145"/>
        <v>0.875</v>
      </c>
      <c r="AP61" s="6">
        <f t="shared" si="146"/>
        <v>0.375</v>
      </c>
      <c r="AQ61" s="6">
        <f t="shared" si="147"/>
        <v>0.625</v>
      </c>
      <c r="AR61" s="6">
        <f t="shared" si="148"/>
        <v>0.625</v>
      </c>
      <c r="AS61" s="6">
        <f t="shared" si="149"/>
        <v>0.875</v>
      </c>
      <c r="AT61" s="6">
        <f t="shared" si="150"/>
        <v>0.375</v>
      </c>
      <c r="AU61" s="6">
        <f t="shared" si="151"/>
        <v>0.625</v>
      </c>
    </row>
    <row r="62" spans="1:47">
      <c r="A62" t="s">
        <v>509</v>
      </c>
      <c r="B62">
        <v>4</v>
      </c>
      <c r="C62">
        <v>2</v>
      </c>
      <c r="AF62" s="6">
        <v>0.625</v>
      </c>
      <c r="AG62" s="6">
        <v>0.875</v>
      </c>
      <c r="AH62" s="6">
        <f t="shared" si="138"/>
        <v>0.375</v>
      </c>
      <c r="AI62" s="6">
        <f t="shared" si="139"/>
        <v>0.625</v>
      </c>
      <c r="AJ62" s="6">
        <f t="shared" si="140"/>
        <v>0.625</v>
      </c>
      <c r="AK62" s="6">
        <f t="shared" si="141"/>
        <v>0.875</v>
      </c>
      <c r="AL62" s="6">
        <f t="shared" si="142"/>
        <v>0.375</v>
      </c>
      <c r="AM62" s="6">
        <f t="shared" si="143"/>
        <v>0.625</v>
      </c>
      <c r="AN62" s="6">
        <f t="shared" si="144"/>
        <v>0.625</v>
      </c>
      <c r="AO62" s="6">
        <f t="shared" si="145"/>
        <v>0.875</v>
      </c>
      <c r="AP62" s="6">
        <f t="shared" si="146"/>
        <v>0.375</v>
      </c>
      <c r="AQ62" s="6">
        <f t="shared" si="147"/>
        <v>0.625</v>
      </c>
      <c r="AR62" s="6">
        <f t="shared" si="148"/>
        <v>0.625</v>
      </c>
      <c r="AS62" s="6">
        <f t="shared" si="149"/>
        <v>0.875</v>
      </c>
      <c r="AT62" s="6">
        <f t="shared" si="150"/>
        <v>0.375</v>
      </c>
      <c r="AU62" s="6">
        <f t="shared" si="151"/>
        <v>0.625</v>
      </c>
    </row>
    <row r="63" spans="1:47">
      <c r="A63" t="s">
        <v>511</v>
      </c>
      <c r="B63">
        <v>4</v>
      </c>
      <c r="C63">
        <v>2</v>
      </c>
      <c r="AF63" s="6">
        <v>0.375</v>
      </c>
      <c r="AG63" s="6">
        <v>0.625</v>
      </c>
      <c r="AH63" s="6">
        <f t="shared" si="138"/>
        <v>0.625</v>
      </c>
      <c r="AI63" s="6">
        <f t="shared" si="139"/>
        <v>0.875</v>
      </c>
      <c r="AJ63" s="6">
        <f t="shared" si="140"/>
        <v>0.375</v>
      </c>
      <c r="AK63" s="6">
        <f t="shared" si="141"/>
        <v>0.625</v>
      </c>
      <c r="AL63" s="6">
        <f t="shared" si="142"/>
        <v>0.625</v>
      </c>
      <c r="AM63" s="6">
        <f t="shared" si="143"/>
        <v>0.875</v>
      </c>
      <c r="AN63" s="6">
        <f t="shared" si="144"/>
        <v>0.375</v>
      </c>
      <c r="AO63" s="6">
        <f t="shared" si="145"/>
        <v>0.625</v>
      </c>
      <c r="AP63" s="6">
        <f t="shared" si="146"/>
        <v>0.625</v>
      </c>
      <c r="AQ63" s="6">
        <f t="shared" si="147"/>
        <v>0.875</v>
      </c>
      <c r="AR63" s="6">
        <f t="shared" si="148"/>
        <v>0.375</v>
      </c>
      <c r="AS63" s="6">
        <f t="shared" si="149"/>
        <v>0.625</v>
      </c>
      <c r="AT63" s="6">
        <f t="shared" si="150"/>
        <v>0.625</v>
      </c>
      <c r="AU63" s="6">
        <f t="shared" si="151"/>
        <v>0.875</v>
      </c>
    </row>
    <row r="64" spans="1:47">
      <c r="A64" t="s">
        <v>512</v>
      </c>
      <c r="B64">
        <v>4</v>
      </c>
      <c r="C64">
        <v>2</v>
      </c>
      <c r="AF64" s="6">
        <v>0.625</v>
      </c>
      <c r="AG64" s="6">
        <v>0.875</v>
      </c>
      <c r="AH64" s="6">
        <f t="shared" si="138"/>
        <v>0.375</v>
      </c>
      <c r="AI64" s="6">
        <f t="shared" si="139"/>
        <v>0.625</v>
      </c>
      <c r="AJ64" s="6">
        <f t="shared" si="140"/>
        <v>0.625</v>
      </c>
      <c r="AK64" s="6">
        <f t="shared" si="141"/>
        <v>0.875</v>
      </c>
      <c r="AL64" s="6">
        <f t="shared" si="142"/>
        <v>0.375</v>
      </c>
      <c r="AM64" s="6">
        <f t="shared" si="143"/>
        <v>0.625</v>
      </c>
      <c r="AN64" s="6">
        <f t="shared" si="144"/>
        <v>0.625</v>
      </c>
      <c r="AO64" s="6">
        <f t="shared" si="145"/>
        <v>0.875</v>
      </c>
      <c r="AP64" s="6">
        <f t="shared" si="146"/>
        <v>0.375</v>
      </c>
      <c r="AQ64" s="6">
        <f t="shared" si="147"/>
        <v>0.625</v>
      </c>
      <c r="AR64" s="6">
        <f t="shared" si="148"/>
        <v>0.625</v>
      </c>
      <c r="AS64" s="6">
        <f t="shared" si="149"/>
        <v>0.875</v>
      </c>
      <c r="AT64" s="6">
        <f t="shared" si="150"/>
        <v>0.375</v>
      </c>
      <c r="AU64" s="6">
        <f t="shared" si="151"/>
        <v>0.625</v>
      </c>
    </row>
    <row r="65" spans="1:47">
      <c r="A65" t="s">
        <v>513</v>
      </c>
      <c r="B65">
        <v>4</v>
      </c>
      <c r="C65">
        <v>2</v>
      </c>
      <c r="AF65" s="16">
        <v>0.375</v>
      </c>
      <c r="AG65" s="16">
        <v>0.58333333333333337</v>
      </c>
      <c r="AH65" s="16">
        <v>0.375</v>
      </c>
      <c r="AI65" s="16">
        <v>0.58333333333333337</v>
      </c>
      <c r="AJ65" s="16">
        <v>0.375</v>
      </c>
      <c r="AK65" s="16">
        <v>0.58333333333333337</v>
      </c>
      <c r="AL65" s="16">
        <v>0.375</v>
      </c>
      <c r="AM65" s="16">
        <v>0.58333333333333337</v>
      </c>
      <c r="AN65" s="16">
        <v>0.375</v>
      </c>
      <c r="AO65" s="16">
        <v>0.58333333333333337</v>
      </c>
      <c r="AP65" s="16">
        <v>0.375</v>
      </c>
      <c r="AQ65" s="16">
        <v>0.58333333333333337</v>
      </c>
      <c r="AR65" s="16">
        <v>0.375</v>
      </c>
      <c r="AS65" s="16">
        <v>0.58333333333333337</v>
      </c>
      <c r="AT65" s="16">
        <v>0.375</v>
      </c>
      <c r="AU65" s="16">
        <v>0.58333333333333337</v>
      </c>
    </row>
    <row r="66" spans="1:47">
      <c r="A66" t="s">
        <v>514</v>
      </c>
      <c r="B66">
        <v>4</v>
      </c>
      <c r="C66">
        <v>2</v>
      </c>
      <c r="AF66" s="6">
        <v>0.375</v>
      </c>
      <c r="AG66" s="6">
        <v>0.625</v>
      </c>
      <c r="AH66" s="6">
        <f t="shared" ref="AH66:AH81" si="152">+IF(AF66*24=9,15/24,9/24)</f>
        <v>0.625</v>
      </c>
      <c r="AI66" s="6">
        <f t="shared" ref="AI66:AI81" si="153">+IF(AF66*24=9,21/24,15/24)</f>
        <v>0.875</v>
      </c>
      <c r="AJ66" s="6">
        <f t="shared" ref="AJ66:AJ81" si="154">+IF(AH66*24=9,15/24,9/24)</f>
        <v>0.375</v>
      </c>
      <c r="AK66" s="6">
        <f t="shared" ref="AK66:AK81" si="155">+IF(AH66*24=9,21/24,15/24)</f>
        <v>0.625</v>
      </c>
      <c r="AL66" s="6">
        <f t="shared" ref="AL66:AL81" si="156">+IF(AJ66*24=9,15/24,9/24)</f>
        <v>0.625</v>
      </c>
      <c r="AM66" s="6">
        <f t="shared" ref="AM66:AM81" si="157">+IF(AJ66*24=9,21/24,15/24)</f>
        <v>0.875</v>
      </c>
      <c r="AN66" s="6">
        <f t="shared" ref="AN66:AN81" si="158">+IF(AL66*24=9,15/24,9/24)</f>
        <v>0.375</v>
      </c>
      <c r="AO66" s="6">
        <f t="shared" ref="AO66:AO81" si="159">+IF(AL66*24=9,21/24,15/24)</f>
        <v>0.625</v>
      </c>
      <c r="AP66" s="6">
        <f t="shared" ref="AP66:AP81" si="160">+IF(AN66*24=9,15/24,9/24)</f>
        <v>0.625</v>
      </c>
      <c r="AQ66" s="6">
        <f t="shared" ref="AQ66:AQ81" si="161">+IF(AN66*24=9,21/24,15/24)</f>
        <v>0.875</v>
      </c>
      <c r="AR66" s="6">
        <f t="shared" ref="AR66:AR81" si="162">+IF(AP66*24=9,15/24,9/24)</f>
        <v>0.375</v>
      </c>
      <c r="AS66" s="6">
        <f t="shared" ref="AS66:AS81" si="163">+IF(AP66*24=9,21/24,15/24)</f>
        <v>0.625</v>
      </c>
      <c r="AT66" s="6">
        <f t="shared" ref="AT66:AT81" si="164">+IF(AR66*24=9,15/24,9/24)</f>
        <v>0.625</v>
      </c>
      <c r="AU66" s="6">
        <f t="shared" ref="AU66:AU81" si="165">+IF(AR66*24=9,21/24,15/24)</f>
        <v>0.875</v>
      </c>
    </row>
    <row r="67" spans="1:47">
      <c r="A67" t="s">
        <v>515</v>
      </c>
      <c r="B67">
        <v>4</v>
      </c>
      <c r="C67">
        <v>2</v>
      </c>
      <c r="AF67" s="6">
        <v>0.375</v>
      </c>
      <c r="AG67" s="6">
        <v>0.625</v>
      </c>
      <c r="AH67" s="6">
        <f t="shared" si="152"/>
        <v>0.625</v>
      </c>
      <c r="AI67" s="6">
        <f t="shared" si="153"/>
        <v>0.875</v>
      </c>
      <c r="AJ67" s="6">
        <f t="shared" si="154"/>
        <v>0.375</v>
      </c>
      <c r="AK67" s="6">
        <f t="shared" si="155"/>
        <v>0.625</v>
      </c>
      <c r="AL67" s="6">
        <f t="shared" si="156"/>
        <v>0.625</v>
      </c>
      <c r="AM67" s="6">
        <f t="shared" si="157"/>
        <v>0.875</v>
      </c>
      <c r="AN67" s="6">
        <f t="shared" si="158"/>
        <v>0.375</v>
      </c>
      <c r="AO67" s="6">
        <f t="shared" si="159"/>
        <v>0.625</v>
      </c>
      <c r="AP67" s="6">
        <f t="shared" si="160"/>
        <v>0.625</v>
      </c>
      <c r="AQ67" s="6">
        <f t="shared" si="161"/>
        <v>0.875</v>
      </c>
      <c r="AR67" s="6">
        <f t="shared" si="162"/>
        <v>0.375</v>
      </c>
      <c r="AS67" s="6">
        <f t="shared" si="163"/>
        <v>0.625</v>
      </c>
      <c r="AT67" s="6">
        <f t="shared" si="164"/>
        <v>0.625</v>
      </c>
      <c r="AU67" s="6">
        <f t="shared" si="165"/>
        <v>0.875</v>
      </c>
    </row>
    <row r="68" spans="1:47">
      <c r="A68" t="s">
        <v>486</v>
      </c>
      <c r="B68">
        <v>4</v>
      </c>
      <c r="C68">
        <v>2</v>
      </c>
      <c r="AF68" s="6">
        <v>0.625</v>
      </c>
      <c r="AG68" s="6">
        <v>0.875</v>
      </c>
      <c r="AH68" s="6">
        <f t="shared" si="152"/>
        <v>0.375</v>
      </c>
      <c r="AI68" s="6">
        <f t="shared" si="153"/>
        <v>0.625</v>
      </c>
      <c r="AJ68" s="6">
        <f t="shared" si="154"/>
        <v>0.625</v>
      </c>
      <c r="AK68" s="6">
        <f t="shared" si="155"/>
        <v>0.875</v>
      </c>
      <c r="AL68" s="6">
        <f t="shared" si="156"/>
        <v>0.375</v>
      </c>
      <c r="AM68" s="6">
        <f t="shared" si="157"/>
        <v>0.625</v>
      </c>
      <c r="AN68" s="6">
        <f t="shared" si="158"/>
        <v>0.625</v>
      </c>
      <c r="AO68" s="6">
        <f t="shared" si="159"/>
        <v>0.875</v>
      </c>
      <c r="AP68" s="6">
        <f t="shared" si="160"/>
        <v>0.375</v>
      </c>
      <c r="AQ68" s="6">
        <f t="shared" si="161"/>
        <v>0.625</v>
      </c>
      <c r="AR68" s="6">
        <f t="shared" si="162"/>
        <v>0.625</v>
      </c>
      <c r="AS68" s="6">
        <f t="shared" si="163"/>
        <v>0.875</v>
      </c>
      <c r="AT68" s="6">
        <f t="shared" si="164"/>
        <v>0.375</v>
      </c>
      <c r="AU68" s="6">
        <f t="shared" si="165"/>
        <v>0.625</v>
      </c>
    </row>
    <row r="69" spans="1:47">
      <c r="A69" t="s">
        <v>490</v>
      </c>
      <c r="B69">
        <v>4</v>
      </c>
      <c r="C69">
        <v>2</v>
      </c>
      <c r="AF69" s="6">
        <v>0.625</v>
      </c>
      <c r="AG69" s="6">
        <v>0.875</v>
      </c>
      <c r="AH69" s="6">
        <f t="shared" si="152"/>
        <v>0.375</v>
      </c>
      <c r="AI69" s="6">
        <f t="shared" si="153"/>
        <v>0.625</v>
      </c>
      <c r="AJ69" s="6">
        <f t="shared" si="154"/>
        <v>0.625</v>
      </c>
      <c r="AK69" s="6">
        <f t="shared" si="155"/>
        <v>0.875</v>
      </c>
      <c r="AL69" s="6">
        <f t="shared" si="156"/>
        <v>0.375</v>
      </c>
      <c r="AM69" s="6">
        <f t="shared" si="157"/>
        <v>0.625</v>
      </c>
      <c r="AN69" s="6">
        <f t="shared" si="158"/>
        <v>0.625</v>
      </c>
      <c r="AO69" s="6">
        <f t="shared" si="159"/>
        <v>0.875</v>
      </c>
      <c r="AP69" s="6">
        <f t="shared" si="160"/>
        <v>0.375</v>
      </c>
      <c r="AQ69" s="6">
        <f t="shared" si="161"/>
        <v>0.625</v>
      </c>
      <c r="AR69" s="6">
        <f t="shared" si="162"/>
        <v>0.625</v>
      </c>
      <c r="AS69" s="6">
        <f t="shared" si="163"/>
        <v>0.875</v>
      </c>
      <c r="AT69" s="6">
        <f t="shared" si="164"/>
        <v>0.375</v>
      </c>
      <c r="AU69" s="6">
        <f t="shared" si="165"/>
        <v>0.625</v>
      </c>
    </row>
    <row r="70" spans="1:47">
      <c r="A70" t="s">
        <v>491</v>
      </c>
      <c r="B70">
        <v>4</v>
      </c>
      <c r="C70">
        <v>2</v>
      </c>
      <c r="AF70" s="6">
        <v>0.375</v>
      </c>
      <c r="AG70" s="6">
        <v>0.625</v>
      </c>
      <c r="AH70" s="6">
        <f t="shared" si="152"/>
        <v>0.625</v>
      </c>
      <c r="AI70" s="6">
        <f t="shared" si="153"/>
        <v>0.875</v>
      </c>
      <c r="AJ70" s="6">
        <f t="shared" si="154"/>
        <v>0.375</v>
      </c>
      <c r="AK70" s="6">
        <f t="shared" si="155"/>
        <v>0.625</v>
      </c>
      <c r="AL70" s="6">
        <f t="shared" si="156"/>
        <v>0.625</v>
      </c>
      <c r="AM70" s="6">
        <f t="shared" si="157"/>
        <v>0.875</v>
      </c>
      <c r="AN70" s="6">
        <f t="shared" si="158"/>
        <v>0.375</v>
      </c>
      <c r="AO70" s="6">
        <f t="shared" si="159"/>
        <v>0.625</v>
      </c>
      <c r="AP70" s="6">
        <f t="shared" si="160"/>
        <v>0.625</v>
      </c>
      <c r="AQ70" s="6">
        <f t="shared" si="161"/>
        <v>0.875</v>
      </c>
      <c r="AR70" s="6">
        <f t="shared" si="162"/>
        <v>0.375</v>
      </c>
      <c r="AS70" s="6">
        <f t="shared" si="163"/>
        <v>0.625</v>
      </c>
      <c r="AT70" s="6">
        <f t="shared" si="164"/>
        <v>0.625</v>
      </c>
      <c r="AU70" s="6">
        <f t="shared" si="165"/>
        <v>0.875</v>
      </c>
    </row>
    <row r="71" spans="1:47">
      <c r="A71" t="s">
        <v>496</v>
      </c>
      <c r="B71">
        <v>4</v>
      </c>
      <c r="C71">
        <v>2</v>
      </c>
      <c r="AF71" s="6">
        <v>0.625</v>
      </c>
      <c r="AG71" s="6">
        <v>0.875</v>
      </c>
      <c r="AH71" s="6">
        <f t="shared" si="152"/>
        <v>0.375</v>
      </c>
      <c r="AI71" s="6">
        <f t="shared" si="153"/>
        <v>0.625</v>
      </c>
      <c r="AJ71" s="6">
        <f t="shared" si="154"/>
        <v>0.625</v>
      </c>
      <c r="AK71" s="6">
        <f t="shared" si="155"/>
        <v>0.875</v>
      </c>
      <c r="AL71" s="6">
        <f t="shared" si="156"/>
        <v>0.375</v>
      </c>
      <c r="AM71" s="6">
        <f t="shared" si="157"/>
        <v>0.625</v>
      </c>
      <c r="AN71" s="6">
        <f t="shared" si="158"/>
        <v>0.625</v>
      </c>
      <c r="AO71" s="6">
        <f t="shared" si="159"/>
        <v>0.875</v>
      </c>
      <c r="AP71" s="6">
        <f t="shared" si="160"/>
        <v>0.375</v>
      </c>
      <c r="AQ71" s="6">
        <f t="shared" si="161"/>
        <v>0.625</v>
      </c>
      <c r="AR71" s="6">
        <f t="shared" si="162"/>
        <v>0.625</v>
      </c>
      <c r="AS71" s="6">
        <f t="shared" si="163"/>
        <v>0.875</v>
      </c>
      <c r="AT71" s="6">
        <f t="shared" si="164"/>
        <v>0.375</v>
      </c>
      <c r="AU71" s="6">
        <f t="shared" si="165"/>
        <v>0.625</v>
      </c>
    </row>
    <row r="72" spans="1:47">
      <c r="A72" t="s">
        <v>497</v>
      </c>
      <c r="B72">
        <v>4</v>
      </c>
      <c r="C72">
        <v>2</v>
      </c>
      <c r="AF72" s="6">
        <v>0.625</v>
      </c>
      <c r="AG72" s="6">
        <v>0.875</v>
      </c>
      <c r="AH72" s="6">
        <f t="shared" si="152"/>
        <v>0.375</v>
      </c>
      <c r="AI72" s="6">
        <f t="shared" si="153"/>
        <v>0.625</v>
      </c>
      <c r="AJ72" s="6">
        <f t="shared" si="154"/>
        <v>0.625</v>
      </c>
      <c r="AK72" s="6">
        <f t="shared" si="155"/>
        <v>0.875</v>
      </c>
      <c r="AL72" s="6">
        <f t="shared" si="156"/>
        <v>0.375</v>
      </c>
      <c r="AM72" s="6">
        <f t="shared" si="157"/>
        <v>0.625</v>
      </c>
      <c r="AN72" s="6">
        <f t="shared" si="158"/>
        <v>0.625</v>
      </c>
      <c r="AO72" s="6">
        <f t="shared" si="159"/>
        <v>0.875</v>
      </c>
      <c r="AP72" s="6">
        <f t="shared" si="160"/>
        <v>0.375</v>
      </c>
      <c r="AQ72" s="6">
        <f t="shared" si="161"/>
        <v>0.625</v>
      </c>
      <c r="AR72" s="6">
        <f t="shared" si="162"/>
        <v>0.625</v>
      </c>
      <c r="AS72" s="6">
        <f t="shared" si="163"/>
        <v>0.875</v>
      </c>
      <c r="AT72" s="6">
        <f t="shared" si="164"/>
        <v>0.375</v>
      </c>
      <c r="AU72" s="6">
        <f t="shared" si="165"/>
        <v>0.625</v>
      </c>
    </row>
    <row r="73" spans="1:47">
      <c r="A73" t="s">
        <v>498</v>
      </c>
      <c r="B73">
        <v>4</v>
      </c>
      <c r="C73">
        <v>2</v>
      </c>
      <c r="AF73" s="6">
        <v>0.375</v>
      </c>
      <c r="AG73" s="6">
        <v>0.625</v>
      </c>
      <c r="AH73" s="6">
        <f t="shared" si="152"/>
        <v>0.625</v>
      </c>
      <c r="AI73" s="6">
        <f t="shared" si="153"/>
        <v>0.875</v>
      </c>
      <c r="AJ73" s="6">
        <f t="shared" si="154"/>
        <v>0.375</v>
      </c>
      <c r="AK73" s="6">
        <f t="shared" si="155"/>
        <v>0.625</v>
      </c>
      <c r="AL73" s="6">
        <f t="shared" si="156"/>
        <v>0.625</v>
      </c>
      <c r="AM73" s="6">
        <f t="shared" si="157"/>
        <v>0.875</v>
      </c>
      <c r="AN73" s="6">
        <f t="shared" si="158"/>
        <v>0.375</v>
      </c>
      <c r="AO73" s="6">
        <f t="shared" si="159"/>
        <v>0.625</v>
      </c>
      <c r="AP73" s="6">
        <f t="shared" si="160"/>
        <v>0.625</v>
      </c>
      <c r="AQ73" s="6">
        <f t="shared" si="161"/>
        <v>0.875</v>
      </c>
      <c r="AR73" s="6">
        <f t="shared" si="162"/>
        <v>0.375</v>
      </c>
      <c r="AS73" s="6">
        <f t="shared" si="163"/>
        <v>0.625</v>
      </c>
      <c r="AT73" s="6">
        <f t="shared" si="164"/>
        <v>0.625</v>
      </c>
      <c r="AU73" s="6">
        <f t="shared" si="165"/>
        <v>0.875</v>
      </c>
    </row>
    <row r="74" spans="1:47">
      <c r="A74" t="s">
        <v>500</v>
      </c>
      <c r="B74">
        <v>4</v>
      </c>
      <c r="C74">
        <v>2</v>
      </c>
      <c r="AF74" s="6">
        <v>0.625</v>
      </c>
      <c r="AG74" s="6">
        <v>0.875</v>
      </c>
      <c r="AH74" s="6">
        <f t="shared" si="152"/>
        <v>0.375</v>
      </c>
      <c r="AI74" s="6">
        <f t="shared" si="153"/>
        <v>0.625</v>
      </c>
      <c r="AJ74" s="6">
        <f t="shared" si="154"/>
        <v>0.625</v>
      </c>
      <c r="AK74" s="6">
        <f t="shared" si="155"/>
        <v>0.875</v>
      </c>
      <c r="AL74" s="6">
        <f t="shared" si="156"/>
        <v>0.375</v>
      </c>
      <c r="AM74" s="6">
        <f t="shared" si="157"/>
        <v>0.625</v>
      </c>
      <c r="AN74" s="6">
        <f t="shared" si="158"/>
        <v>0.625</v>
      </c>
      <c r="AO74" s="6">
        <f t="shared" si="159"/>
        <v>0.875</v>
      </c>
      <c r="AP74" s="6">
        <f t="shared" si="160"/>
        <v>0.375</v>
      </c>
      <c r="AQ74" s="6">
        <f t="shared" si="161"/>
        <v>0.625</v>
      </c>
      <c r="AR74" s="6">
        <f t="shared" si="162"/>
        <v>0.625</v>
      </c>
      <c r="AS74" s="6">
        <f t="shared" si="163"/>
        <v>0.875</v>
      </c>
      <c r="AT74" s="6">
        <f t="shared" si="164"/>
        <v>0.375</v>
      </c>
      <c r="AU74" s="6">
        <f t="shared" si="165"/>
        <v>0.625</v>
      </c>
    </row>
    <row r="75" spans="1:47">
      <c r="A75" t="s">
        <v>501</v>
      </c>
      <c r="B75">
        <v>4</v>
      </c>
      <c r="C75">
        <v>2</v>
      </c>
      <c r="AF75" s="6">
        <v>0.625</v>
      </c>
      <c r="AG75" s="6">
        <v>0.875</v>
      </c>
      <c r="AH75" s="6">
        <f t="shared" si="152"/>
        <v>0.375</v>
      </c>
      <c r="AI75" s="6">
        <f t="shared" si="153"/>
        <v>0.625</v>
      </c>
      <c r="AJ75" s="6">
        <f t="shared" si="154"/>
        <v>0.625</v>
      </c>
      <c r="AK75" s="6">
        <f t="shared" si="155"/>
        <v>0.875</v>
      </c>
      <c r="AL75" s="6">
        <f t="shared" si="156"/>
        <v>0.375</v>
      </c>
      <c r="AM75" s="6">
        <f t="shared" si="157"/>
        <v>0.625</v>
      </c>
      <c r="AN75" s="6">
        <f t="shared" si="158"/>
        <v>0.625</v>
      </c>
      <c r="AO75" s="6">
        <f t="shared" si="159"/>
        <v>0.875</v>
      </c>
      <c r="AP75" s="6">
        <f t="shared" si="160"/>
        <v>0.375</v>
      </c>
      <c r="AQ75" s="6">
        <f t="shared" si="161"/>
        <v>0.625</v>
      </c>
      <c r="AR75" s="6">
        <f t="shared" si="162"/>
        <v>0.625</v>
      </c>
      <c r="AS75" s="6">
        <f t="shared" si="163"/>
        <v>0.875</v>
      </c>
      <c r="AT75" s="6">
        <f t="shared" si="164"/>
        <v>0.375</v>
      </c>
      <c r="AU75" s="6">
        <f t="shared" si="165"/>
        <v>0.625</v>
      </c>
    </row>
    <row r="76" spans="1:47">
      <c r="A76" t="s">
        <v>502</v>
      </c>
      <c r="B76">
        <v>4</v>
      </c>
      <c r="C76">
        <v>2</v>
      </c>
      <c r="AF76" s="6">
        <v>0.625</v>
      </c>
      <c r="AG76" s="6">
        <v>0.875</v>
      </c>
      <c r="AH76" s="6">
        <f t="shared" si="152"/>
        <v>0.375</v>
      </c>
      <c r="AI76" s="6">
        <f t="shared" si="153"/>
        <v>0.625</v>
      </c>
      <c r="AJ76" s="6">
        <f t="shared" si="154"/>
        <v>0.625</v>
      </c>
      <c r="AK76" s="6">
        <f t="shared" si="155"/>
        <v>0.875</v>
      </c>
      <c r="AL76" s="6">
        <f t="shared" si="156"/>
        <v>0.375</v>
      </c>
      <c r="AM76" s="6">
        <f t="shared" si="157"/>
        <v>0.625</v>
      </c>
      <c r="AN76" s="6">
        <f t="shared" si="158"/>
        <v>0.625</v>
      </c>
      <c r="AO76" s="6">
        <f t="shared" si="159"/>
        <v>0.875</v>
      </c>
      <c r="AP76" s="6">
        <f t="shared" si="160"/>
        <v>0.375</v>
      </c>
      <c r="AQ76" s="6">
        <f t="shared" si="161"/>
        <v>0.625</v>
      </c>
      <c r="AR76" s="6">
        <f t="shared" si="162"/>
        <v>0.625</v>
      </c>
      <c r="AS76" s="6">
        <f t="shared" si="163"/>
        <v>0.875</v>
      </c>
      <c r="AT76" s="6">
        <f t="shared" si="164"/>
        <v>0.375</v>
      </c>
      <c r="AU76" s="6">
        <f t="shared" si="165"/>
        <v>0.625</v>
      </c>
    </row>
    <row r="77" spans="1:47">
      <c r="A77" t="s">
        <v>507</v>
      </c>
      <c r="B77">
        <v>4</v>
      </c>
      <c r="C77">
        <v>2</v>
      </c>
      <c r="AF77" s="6">
        <v>0.375</v>
      </c>
      <c r="AG77" s="6">
        <v>0.625</v>
      </c>
      <c r="AH77" s="6">
        <f t="shared" si="152"/>
        <v>0.625</v>
      </c>
      <c r="AI77" s="6">
        <f t="shared" si="153"/>
        <v>0.875</v>
      </c>
      <c r="AJ77" s="6">
        <f t="shared" si="154"/>
        <v>0.375</v>
      </c>
      <c r="AK77" s="6">
        <f t="shared" si="155"/>
        <v>0.625</v>
      </c>
      <c r="AL77" s="6">
        <f t="shared" si="156"/>
        <v>0.625</v>
      </c>
      <c r="AM77" s="6">
        <f t="shared" si="157"/>
        <v>0.875</v>
      </c>
      <c r="AN77" s="6">
        <f t="shared" si="158"/>
        <v>0.375</v>
      </c>
      <c r="AO77" s="6">
        <f t="shared" si="159"/>
        <v>0.625</v>
      </c>
      <c r="AP77" s="6">
        <f t="shared" si="160"/>
        <v>0.625</v>
      </c>
      <c r="AQ77" s="6">
        <f t="shared" si="161"/>
        <v>0.875</v>
      </c>
      <c r="AR77" s="6">
        <f t="shared" si="162"/>
        <v>0.375</v>
      </c>
      <c r="AS77" s="6">
        <f t="shared" si="163"/>
        <v>0.625</v>
      </c>
      <c r="AT77" s="6">
        <f t="shared" si="164"/>
        <v>0.625</v>
      </c>
      <c r="AU77" s="6">
        <f t="shared" si="165"/>
        <v>0.875</v>
      </c>
    </row>
    <row r="78" spans="1:47">
      <c r="A78" t="s">
        <v>508</v>
      </c>
      <c r="B78">
        <v>4</v>
      </c>
      <c r="C78">
        <v>2</v>
      </c>
      <c r="AF78" s="6">
        <v>0.375</v>
      </c>
      <c r="AG78" s="6">
        <v>0.625</v>
      </c>
      <c r="AH78" s="6">
        <f t="shared" si="152"/>
        <v>0.625</v>
      </c>
      <c r="AI78" s="6">
        <f t="shared" si="153"/>
        <v>0.875</v>
      </c>
      <c r="AJ78" s="6">
        <f t="shared" si="154"/>
        <v>0.375</v>
      </c>
      <c r="AK78" s="6">
        <f t="shared" si="155"/>
        <v>0.625</v>
      </c>
      <c r="AL78" s="6">
        <f t="shared" si="156"/>
        <v>0.625</v>
      </c>
      <c r="AM78" s="6">
        <f t="shared" si="157"/>
        <v>0.875</v>
      </c>
      <c r="AN78" s="6">
        <f t="shared" si="158"/>
        <v>0.375</v>
      </c>
      <c r="AO78" s="6">
        <f t="shared" si="159"/>
        <v>0.625</v>
      </c>
      <c r="AP78" s="6">
        <f t="shared" si="160"/>
        <v>0.625</v>
      </c>
      <c r="AQ78" s="6">
        <f t="shared" si="161"/>
        <v>0.875</v>
      </c>
      <c r="AR78" s="6">
        <f t="shared" si="162"/>
        <v>0.375</v>
      </c>
      <c r="AS78" s="6">
        <f t="shared" si="163"/>
        <v>0.625</v>
      </c>
      <c r="AT78" s="6">
        <f t="shared" si="164"/>
        <v>0.625</v>
      </c>
      <c r="AU78" s="6">
        <f t="shared" si="165"/>
        <v>0.875</v>
      </c>
    </row>
    <row r="79" spans="1:47">
      <c r="A79" t="s">
        <v>510</v>
      </c>
      <c r="B79">
        <v>4</v>
      </c>
      <c r="C79">
        <v>2</v>
      </c>
      <c r="AF79" s="6">
        <v>0.375</v>
      </c>
      <c r="AG79" s="6">
        <v>0.625</v>
      </c>
      <c r="AH79" s="6">
        <f t="shared" si="152"/>
        <v>0.625</v>
      </c>
      <c r="AI79" s="6">
        <f t="shared" si="153"/>
        <v>0.875</v>
      </c>
      <c r="AJ79" s="6">
        <f t="shared" si="154"/>
        <v>0.375</v>
      </c>
      <c r="AK79" s="6">
        <f t="shared" si="155"/>
        <v>0.625</v>
      </c>
      <c r="AL79" s="6">
        <f t="shared" si="156"/>
        <v>0.625</v>
      </c>
      <c r="AM79" s="6">
        <f t="shared" si="157"/>
        <v>0.875</v>
      </c>
      <c r="AN79" s="6">
        <f t="shared" si="158"/>
        <v>0.375</v>
      </c>
      <c r="AO79" s="6">
        <f t="shared" si="159"/>
        <v>0.625</v>
      </c>
      <c r="AP79" s="6">
        <f t="shared" si="160"/>
        <v>0.625</v>
      </c>
      <c r="AQ79" s="6">
        <f t="shared" si="161"/>
        <v>0.875</v>
      </c>
      <c r="AR79" s="6">
        <f t="shared" si="162"/>
        <v>0.375</v>
      </c>
      <c r="AS79" s="6">
        <f t="shared" si="163"/>
        <v>0.625</v>
      </c>
      <c r="AT79" s="6">
        <f t="shared" si="164"/>
        <v>0.625</v>
      </c>
      <c r="AU79" s="6">
        <f t="shared" si="165"/>
        <v>0.875</v>
      </c>
    </row>
    <row r="80" spans="1:47">
      <c r="A80" t="s">
        <v>516</v>
      </c>
      <c r="B80">
        <v>4</v>
      </c>
      <c r="C80">
        <v>2</v>
      </c>
      <c r="AF80" s="6">
        <v>0.375</v>
      </c>
      <c r="AG80" s="6">
        <v>0.625</v>
      </c>
      <c r="AH80" s="6">
        <f t="shared" si="152"/>
        <v>0.625</v>
      </c>
      <c r="AI80" s="6">
        <f t="shared" si="153"/>
        <v>0.875</v>
      </c>
      <c r="AJ80" s="6">
        <f t="shared" si="154"/>
        <v>0.375</v>
      </c>
      <c r="AK80" s="6">
        <f t="shared" si="155"/>
        <v>0.625</v>
      </c>
      <c r="AL80" s="6">
        <f t="shared" si="156"/>
        <v>0.625</v>
      </c>
      <c r="AM80" s="6">
        <f t="shared" si="157"/>
        <v>0.875</v>
      </c>
      <c r="AN80" s="6">
        <f t="shared" si="158"/>
        <v>0.375</v>
      </c>
      <c r="AO80" s="6">
        <f t="shared" si="159"/>
        <v>0.625</v>
      </c>
      <c r="AP80" s="6">
        <f t="shared" si="160"/>
        <v>0.625</v>
      </c>
      <c r="AQ80" s="6">
        <f t="shared" si="161"/>
        <v>0.875</v>
      </c>
      <c r="AR80" s="6">
        <f t="shared" si="162"/>
        <v>0.375</v>
      </c>
      <c r="AS80" s="6">
        <f t="shared" si="163"/>
        <v>0.625</v>
      </c>
      <c r="AT80" s="6">
        <f t="shared" si="164"/>
        <v>0.625</v>
      </c>
      <c r="AU80" s="6">
        <f t="shared" si="165"/>
        <v>0.875</v>
      </c>
    </row>
    <row r="81" spans="1:47">
      <c r="A81" t="s">
        <v>581</v>
      </c>
      <c r="B81">
        <v>4</v>
      </c>
      <c r="C81">
        <v>2</v>
      </c>
      <c r="AF81" s="6">
        <v>0.625</v>
      </c>
      <c r="AG81" s="6">
        <v>0.875</v>
      </c>
      <c r="AH81" s="6">
        <f t="shared" si="152"/>
        <v>0.375</v>
      </c>
      <c r="AI81" s="6">
        <f t="shared" si="153"/>
        <v>0.625</v>
      </c>
      <c r="AJ81" s="6">
        <f t="shared" si="154"/>
        <v>0.625</v>
      </c>
      <c r="AK81" s="6">
        <f t="shared" si="155"/>
        <v>0.875</v>
      </c>
      <c r="AL81" s="6">
        <f t="shared" si="156"/>
        <v>0.375</v>
      </c>
      <c r="AM81" s="6">
        <f t="shared" si="157"/>
        <v>0.625</v>
      </c>
      <c r="AN81" s="6">
        <f t="shared" si="158"/>
        <v>0.625</v>
      </c>
      <c r="AO81" s="6">
        <f t="shared" si="159"/>
        <v>0.875</v>
      </c>
      <c r="AP81" s="6">
        <f t="shared" si="160"/>
        <v>0.375</v>
      </c>
      <c r="AQ81" s="6">
        <f t="shared" si="161"/>
        <v>0.625</v>
      </c>
      <c r="AR81" s="6">
        <f t="shared" si="162"/>
        <v>0.625</v>
      </c>
      <c r="AS81" s="6">
        <f t="shared" si="163"/>
        <v>0.875</v>
      </c>
      <c r="AT81" s="6">
        <f t="shared" si="164"/>
        <v>0.375</v>
      </c>
      <c r="AU81" s="6">
        <f t="shared" si="165"/>
        <v>0.625</v>
      </c>
    </row>
  </sheetData>
  <autoFilter ref="A2:AM81" xr:uid="{EAC275AC-CDC7-4613-BB62-04C6414C59F1}"/>
  <mergeCells count="22">
    <mergeCell ref="AB1:AC1"/>
    <mergeCell ref="AT1:AU1"/>
    <mergeCell ref="AR1:AS1"/>
    <mergeCell ref="AP1:AQ1"/>
    <mergeCell ref="AN1:AO1"/>
    <mergeCell ref="AH1:AI1"/>
    <mergeCell ref="X1:Y1"/>
    <mergeCell ref="AF1:AG1"/>
    <mergeCell ref="AL1:AM1"/>
    <mergeCell ref="D1:E1"/>
    <mergeCell ref="F1:G1"/>
    <mergeCell ref="H1:I1"/>
    <mergeCell ref="J1:K1"/>
    <mergeCell ref="L1:M1"/>
    <mergeCell ref="V1:W1"/>
    <mergeCell ref="T1:U1"/>
    <mergeCell ref="R1:S1"/>
    <mergeCell ref="AJ1:AK1"/>
    <mergeCell ref="N1:O1"/>
    <mergeCell ref="P1:Q1"/>
    <mergeCell ref="AD1:AE1"/>
    <mergeCell ref="Z1:AA1"/>
  </mergeCells>
  <conditionalFormatting sqref="A3:A23">
    <cfRule type="duplicateValues" dxfId="3" priority="23"/>
  </conditionalFormatting>
  <conditionalFormatting sqref="A24:A27">
    <cfRule type="duplicateValues" dxfId="2" priority="3"/>
  </conditionalFormatting>
  <conditionalFormatting sqref="A68:A80">
    <cfRule type="duplicateValues" dxfId="1" priority="2"/>
  </conditionalFormatting>
  <conditionalFormatting sqref="A81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0462-219B-447F-8BA0-2C380074A979}">
  <sheetPr codeName="Foglio3"/>
  <dimension ref="A1:S33"/>
  <sheetViews>
    <sheetView zoomScale="80" zoomScaleNormal="80" workbookViewId="0">
      <selection activeCell="O43" sqref="O43"/>
    </sheetView>
  </sheetViews>
  <sheetFormatPr defaultRowHeight="15"/>
  <cols>
    <col min="1" max="1" width="17.28515625" bestFit="1" customWidth="1"/>
    <col min="2" max="7" width="10.5703125" style="3" bestFit="1" customWidth="1"/>
    <col min="8" max="8" width="9" style="3" bestFit="1" customWidth="1"/>
    <col min="10" max="10" width="16.7109375" bestFit="1" customWidth="1"/>
  </cols>
  <sheetData>
    <row r="1" spans="1:19">
      <c r="B1" s="3" t="s">
        <v>404</v>
      </c>
      <c r="C1" s="3" t="s">
        <v>405</v>
      </c>
      <c r="D1" s="3" t="s">
        <v>406</v>
      </c>
      <c r="E1" s="3" t="s">
        <v>407</v>
      </c>
      <c r="F1" s="3" t="s">
        <v>408</v>
      </c>
      <c r="G1" s="3" t="s">
        <v>409</v>
      </c>
      <c r="H1" s="3" t="s">
        <v>410</v>
      </c>
      <c r="J1" s="3" t="s">
        <v>430</v>
      </c>
      <c r="K1" s="3" t="s">
        <v>404</v>
      </c>
      <c r="L1" s="3" t="s">
        <v>405</v>
      </c>
      <c r="M1" s="3" t="s">
        <v>406</v>
      </c>
      <c r="N1" s="3" t="s">
        <v>407</v>
      </c>
      <c r="O1" s="3" t="s">
        <v>408</v>
      </c>
      <c r="P1" s="3" t="s">
        <v>409</v>
      </c>
      <c r="Q1" s="3" t="s">
        <v>410</v>
      </c>
    </row>
    <row r="2" spans="1:19">
      <c r="A2" t="str">
        <f>+Risorse!B2</f>
        <v>Ferranti Margherita</v>
      </c>
      <c r="B2" s="14" t="str" cm="1">
        <f t="array" aca="1" ref="B2" ca="1">+IF(IFERROR(TEXT(INDEX(INDIRECT("Pianificazione!e1:e300"),MATCH($A2&amp;B$1,INDIRECT("Pianificazione!c1:c300")&amp;INDIRECT("Pianificazione!a1:a300"),0)),"hh:mm"),"")&amp;"-"&amp;IFERROR(TEXT(INDEX(INDIRECT("Pianificazione!f1:f300"),MATCH($A2&amp;B$1,INDIRECT("Pianificazione!c1:c300")&amp;INDIRECT("Pianificazione!a1:a300"),0)),"hh:mm"),"")="-","Riposo",IFERROR(TEXT(INDEX(INDIRECT("Pianificazione!e1:e300"),MATCH($A2&amp;B$1,INDIRECT("Pianificazione!c1:c300")&amp;INDIRECT("Pianificazione!a1:a300"),0)),"hh:mm"),"")&amp;"-"&amp;IFERROR(TEXT(INDEX(INDIRECT("Pianificazione!f1:f300"),MATCH($A2&amp;B$1,INDIRECT("Pianificazione!c1:c300")&amp;INDIRECT("Pianificazione!a1:a300"),0)),"hh:mm"),""))</f>
        <v>Riposo</v>
      </c>
      <c r="C2" s="14" t="str" cm="1">
        <f t="array" aca="1" ref="C2" ca="1">+IF(IFERROR(TEXT(INDEX(INDIRECT("Pianificazione!e1:e300"),MATCH($A2&amp;C$1,INDIRECT("Pianificazione!c1:c300")&amp;INDIRECT("Pianificazione!a1:a300"),0)),"hh:mm"),"")&amp;"-"&amp;IFERROR(TEXT(INDEX(INDIRECT("Pianificazione!f1:f300"),MATCH($A2&amp;C$1,INDIRECT("Pianificazione!c1:c300")&amp;INDIRECT("Pianificazione!a1:a300"),0)),"hh:mm"),"")="-","Riposo",IFERROR(TEXT(INDEX(INDIRECT("Pianificazione!e1:e300"),MATCH($A2&amp;C$1,INDIRECT("Pianificazione!c1:c300")&amp;INDIRECT("Pianificazione!a1:a300"),0)),"hh:mm"),"")&amp;"-"&amp;IFERROR(TEXT(INDEX(INDIRECT("Pianificazione!f1:f300"),MATCH($A2&amp;C$1,INDIRECT("Pianificazione!c1:c300")&amp;INDIRECT("Pianificazione!a1:a300"),0)),"hh:mm"),""))</f>
        <v>Riposo</v>
      </c>
      <c r="D2" s="14" t="str" cm="1">
        <f t="array" aca="1" ref="D2" ca="1">+IF(IFERROR(TEXT(INDEX(INDIRECT("Pianificazione!e1:e300"),MATCH($A2&amp;D$1,INDIRECT("Pianificazione!c1:c300")&amp;INDIRECT("Pianificazione!a1:a300"),0)),"hh:mm"),"")&amp;"-"&amp;IFERROR(TEXT(INDEX(INDIRECT("Pianificazione!f1:f300"),MATCH($A2&amp;D$1,INDIRECT("Pianificazione!c1:c300")&amp;INDIRECT("Pianificazione!a1:a300"),0)),"hh:mm"),"")="-","Riposo",IFERROR(TEXT(INDEX(INDIRECT("Pianificazione!e1:e300"),MATCH($A2&amp;D$1,INDIRECT("Pianificazione!c1:c300")&amp;INDIRECT("Pianificazione!a1:a300"),0)),"hh:mm"),"")&amp;"-"&amp;IFERROR(TEXT(INDEX(INDIRECT("Pianificazione!f1:f300"),MATCH($A2&amp;D$1,INDIRECT("Pianificazione!c1:c300")&amp;INDIRECT("Pianificazione!a1:a300"),0)),"hh:mm"),""))</f>
        <v>Riposo</v>
      </c>
      <c r="E2" s="14" t="str" cm="1">
        <f t="array" aca="1" ref="E2" ca="1">+IF(IFERROR(TEXT(INDEX(INDIRECT("Pianificazione!e1:e300"),MATCH($A2&amp;E$1,INDIRECT("Pianificazione!c1:c300")&amp;INDIRECT("Pianificazione!a1:a300"),0)),"hh:mm"),"")&amp;"-"&amp;IFERROR(TEXT(INDEX(INDIRECT("Pianificazione!f1:f300"),MATCH($A2&amp;E$1,INDIRECT("Pianificazione!c1:c300")&amp;INDIRECT("Pianificazione!a1:a300"),0)),"hh:mm"),"")="-","Riposo",IFERROR(TEXT(INDEX(INDIRECT("Pianificazione!e1:e300"),MATCH($A2&amp;E$1,INDIRECT("Pianificazione!c1:c300")&amp;INDIRECT("Pianificazione!a1:a300"),0)),"hh:mm"),"")&amp;"-"&amp;IFERROR(TEXT(INDEX(INDIRECT("Pianificazione!f1:f300"),MATCH($A2&amp;E$1,INDIRECT("Pianificazione!c1:c300")&amp;INDIRECT("Pianificazione!a1:a300"),0)),"hh:mm"),""))</f>
        <v>Riposo</v>
      </c>
      <c r="F2" s="14" t="str" cm="1">
        <f t="array" aca="1" ref="F2" ca="1">+IF(IFERROR(TEXT(INDEX(INDIRECT("Pianificazione!e1:e300"),MATCH($A2&amp;F$1,INDIRECT("Pianificazione!c1:c300")&amp;INDIRECT("Pianificazione!a1:a300"),0)),"hh:mm"),"")&amp;"-"&amp;IFERROR(TEXT(INDEX(INDIRECT("Pianificazione!f1:f300"),MATCH($A2&amp;F$1,INDIRECT("Pianificazione!c1:c300")&amp;INDIRECT("Pianificazione!a1:a300"),0)),"hh:mm"),"")="-","Riposo",IFERROR(TEXT(INDEX(INDIRECT("Pianificazione!e1:e300"),MATCH($A2&amp;F$1,INDIRECT("Pianificazione!c1:c300")&amp;INDIRECT("Pianificazione!a1:a300"),0)),"hh:mm"),"")&amp;"-"&amp;IFERROR(TEXT(INDEX(INDIRECT("Pianificazione!f1:f300"),MATCH($A2&amp;F$1,INDIRECT("Pianificazione!c1:c300")&amp;INDIRECT("Pianificazione!a1:a300"),0)),"hh:mm"),""))</f>
        <v>Riposo</v>
      </c>
      <c r="G2" s="14" t="str" cm="1">
        <f t="array" aca="1" ref="G2" ca="1">+IF(IFERROR(TEXT(INDEX(INDIRECT("Pianificazione!e1:e300"),MATCH($A2&amp;G$1,INDIRECT("Pianificazione!c1:c300")&amp;INDIRECT("Pianificazione!a1:a300"),0)),"hh:mm"),"")&amp;"-"&amp;IFERROR(TEXT(INDEX(INDIRECT("Pianificazione!f1:f300"),MATCH($A2&amp;G$1,INDIRECT("Pianificazione!c1:c300")&amp;INDIRECT("Pianificazione!a1:a300"),0)),"hh:mm"),"")="-","Riposo",IFERROR(TEXT(INDEX(INDIRECT("Pianificazione!e1:e300"),MATCH($A2&amp;G$1,INDIRECT("Pianificazione!c1:c300")&amp;INDIRECT("Pianificazione!a1:a300"),0)),"hh:mm"),"")&amp;"-"&amp;IFERROR(TEXT(INDEX(INDIRECT("Pianificazione!f1:f300"),MATCH($A2&amp;G$1,INDIRECT("Pianificazione!c1:c300")&amp;INDIRECT("Pianificazione!a1:a300"),0)),"hh:mm"),""))</f>
        <v>Riposo</v>
      </c>
      <c r="H2" s="14" t="str" cm="1">
        <f t="array" aca="1" ref="H2" ca="1">+IF(IFERROR(TEXT(INDEX(INDIRECT("Pianificazione!e1:e300"),MATCH($A2&amp;H$1,INDIRECT("Pianificazione!c1:c300")&amp;INDIRECT("Pianificazione!a1:a300"),0)),"hh:mm"),"")&amp;"-"&amp;IFERROR(TEXT(INDEX(INDIRECT("Pianificazione!f1:f300"),MATCH($A2&amp;H$1,INDIRECT("Pianificazione!c1:c300")&amp;INDIRECT("Pianificazione!a1:a300"),0)),"hh:mm"),"")="-","Riposo",IFERROR(TEXT(INDEX(INDIRECT("Pianificazione!e1:e300"),MATCH($A2&amp;H$1,INDIRECT("Pianificazione!c1:c300")&amp;INDIRECT("Pianificazione!a1:a300"),0)),"hh:mm"),"")&amp;"-"&amp;IFERROR(TEXT(INDEX(INDIRECT("Pianificazione!f1:f300"),MATCH($A2&amp;H$1,INDIRECT("Pianificazione!c1:c300")&amp;INDIRECT("Pianificazione!a1:a300"),0)),"hh:mm"),""))</f>
        <v>Riposo</v>
      </c>
      <c r="J2" s="3">
        <v>1</v>
      </c>
      <c r="S2" s="3">
        <v>16</v>
      </c>
    </row>
    <row r="3" spans="1:19">
      <c r="A3" t="str">
        <f>+Risorse!B3</f>
        <v>Inserra Maria Rita</v>
      </c>
      <c r="B3" s="14" t="str" cm="1">
        <f t="array" aca="1" ref="B3" ca="1">+IF(IFERROR(TEXT(INDEX(INDIRECT("Pianificazione!e1:e300"),MATCH($A3&amp;B$1,INDIRECT("Pianificazione!c1:c300")&amp;INDIRECT("Pianificazione!a1:a300"),0)),"hh:mm"),"")&amp;"-"&amp;IFERROR(TEXT(INDEX(INDIRECT("Pianificazione!f1:f300"),MATCH($A3&amp;B$1,INDIRECT("Pianificazione!c1:c300")&amp;INDIRECT("Pianificazione!a1:a300"),0)),"hh:mm"),"")="-","Riposo",IFERROR(TEXT(INDEX(INDIRECT("Pianificazione!e1:e300"),MATCH($A3&amp;B$1,INDIRECT("Pianificazione!c1:c300")&amp;INDIRECT("Pianificazione!a1:a300"),0)),"hh:mm"),"")&amp;"-"&amp;IFERROR(TEXT(INDEX(INDIRECT("Pianificazione!f1:f300"),MATCH($A3&amp;B$1,INDIRECT("Pianificazione!c1:c300")&amp;INDIRECT("Pianificazione!a1:a300"),0)),"hh:mm"),""))</f>
        <v>Riposo</v>
      </c>
      <c r="C3" s="14" t="str" cm="1">
        <f t="array" aca="1" ref="C3" ca="1">+IF(IFERROR(TEXT(INDEX(INDIRECT("Pianificazione!e1:e300"),MATCH($A3&amp;C$1,INDIRECT("Pianificazione!c1:c300")&amp;INDIRECT("Pianificazione!a1:a300"),0)),"hh:mm"),"")&amp;"-"&amp;IFERROR(TEXT(INDEX(INDIRECT("Pianificazione!f1:f300"),MATCH($A3&amp;C$1,INDIRECT("Pianificazione!c1:c300")&amp;INDIRECT("Pianificazione!a1:a300"),0)),"hh:mm"),"")="-","Riposo",IFERROR(TEXT(INDEX(INDIRECT("Pianificazione!e1:e300"),MATCH($A3&amp;C$1,INDIRECT("Pianificazione!c1:c300")&amp;INDIRECT("Pianificazione!a1:a300"),0)),"hh:mm"),"")&amp;"-"&amp;IFERROR(TEXT(INDEX(INDIRECT("Pianificazione!f1:f300"),MATCH($A3&amp;C$1,INDIRECT("Pianificazione!c1:c300")&amp;INDIRECT("Pianificazione!a1:a300"),0)),"hh:mm"),""))</f>
        <v>Riposo</v>
      </c>
      <c r="D3" s="14" t="str" cm="1">
        <f t="array" aca="1" ref="D3" ca="1">+IF(IFERROR(TEXT(INDEX(INDIRECT("Pianificazione!e1:e300"),MATCH($A3&amp;D$1,INDIRECT("Pianificazione!c1:c300")&amp;INDIRECT("Pianificazione!a1:a300"),0)),"hh:mm"),"")&amp;"-"&amp;IFERROR(TEXT(INDEX(INDIRECT("Pianificazione!f1:f300"),MATCH($A3&amp;D$1,INDIRECT("Pianificazione!c1:c300")&amp;INDIRECT("Pianificazione!a1:a300"),0)),"hh:mm"),"")="-","Riposo",IFERROR(TEXT(INDEX(INDIRECT("Pianificazione!e1:e300"),MATCH($A3&amp;D$1,INDIRECT("Pianificazione!c1:c300")&amp;INDIRECT("Pianificazione!a1:a300"),0)),"hh:mm"),"")&amp;"-"&amp;IFERROR(TEXT(INDEX(INDIRECT("Pianificazione!f1:f300"),MATCH($A3&amp;D$1,INDIRECT("Pianificazione!c1:c300")&amp;INDIRECT("Pianificazione!a1:a300"),0)),"hh:mm"),""))</f>
        <v>Riposo</v>
      </c>
      <c r="E3" s="14" t="str" cm="1">
        <f t="array" aca="1" ref="E3" ca="1">+IF(IFERROR(TEXT(INDEX(INDIRECT("Pianificazione!e1:e300"),MATCH($A3&amp;E$1,INDIRECT("Pianificazione!c1:c300")&amp;INDIRECT("Pianificazione!a1:a300"),0)),"hh:mm"),"")&amp;"-"&amp;IFERROR(TEXT(INDEX(INDIRECT("Pianificazione!f1:f300"),MATCH($A3&amp;E$1,INDIRECT("Pianificazione!c1:c300")&amp;INDIRECT("Pianificazione!a1:a300"),0)),"hh:mm"),"")="-","Riposo",IFERROR(TEXT(INDEX(INDIRECT("Pianificazione!e1:e300"),MATCH($A3&amp;E$1,INDIRECT("Pianificazione!c1:c300")&amp;INDIRECT("Pianificazione!a1:a300"),0)),"hh:mm"),"")&amp;"-"&amp;IFERROR(TEXT(INDEX(INDIRECT("Pianificazione!f1:f300"),MATCH($A3&amp;E$1,INDIRECT("Pianificazione!c1:c300")&amp;INDIRECT("Pianificazione!a1:a300"),0)),"hh:mm"),""))</f>
        <v>Riposo</v>
      </c>
      <c r="F3" s="14" t="str" cm="1">
        <f t="array" aca="1" ref="F3" ca="1">+IF(IFERROR(TEXT(INDEX(INDIRECT("Pianificazione!e1:e300"),MATCH($A3&amp;F$1,INDIRECT("Pianificazione!c1:c300")&amp;INDIRECT("Pianificazione!a1:a300"),0)),"hh:mm"),"")&amp;"-"&amp;IFERROR(TEXT(INDEX(INDIRECT("Pianificazione!f1:f300"),MATCH($A3&amp;F$1,INDIRECT("Pianificazione!c1:c300")&amp;INDIRECT("Pianificazione!a1:a300"),0)),"hh:mm"),"")="-","Riposo",IFERROR(TEXT(INDEX(INDIRECT("Pianificazione!e1:e300"),MATCH($A3&amp;F$1,INDIRECT("Pianificazione!c1:c300")&amp;INDIRECT("Pianificazione!a1:a300"),0)),"hh:mm"),"")&amp;"-"&amp;IFERROR(TEXT(INDEX(INDIRECT("Pianificazione!f1:f300"),MATCH($A3&amp;F$1,INDIRECT("Pianificazione!c1:c300")&amp;INDIRECT("Pianificazione!a1:a300"),0)),"hh:mm"),""))</f>
        <v>Riposo</v>
      </c>
      <c r="G3" s="14" t="str" cm="1">
        <f t="array" aca="1" ref="G3" ca="1">+IF(IFERROR(TEXT(INDEX(INDIRECT("Pianificazione!e1:e300"),MATCH($A3&amp;G$1,INDIRECT("Pianificazione!c1:c300")&amp;INDIRECT("Pianificazione!a1:a300"),0)),"hh:mm"),"")&amp;"-"&amp;IFERROR(TEXT(INDEX(INDIRECT("Pianificazione!f1:f300"),MATCH($A3&amp;G$1,INDIRECT("Pianificazione!c1:c300")&amp;INDIRECT("Pianificazione!a1:a300"),0)),"hh:mm"),"")="-","Riposo",IFERROR(TEXT(INDEX(INDIRECT("Pianificazione!e1:e300"),MATCH($A3&amp;G$1,INDIRECT("Pianificazione!c1:c300")&amp;INDIRECT("Pianificazione!a1:a300"),0)),"hh:mm"),"")&amp;"-"&amp;IFERROR(TEXT(INDEX(INDIRECT("Pianificazione!f1:f300"),MATCH($A3&amp;G$1,INDIRECT("Pianificazione!c1:c300")&amp;INDIRECT("Pianificazione!a1:a300"),0)),"hh:mm"),""))</f>
        <v>Riposo</v>
      </c>
      <c r="H3" s="14" t="str" cm="1">
        <f t="array" aca="1" ref="H3" ca="1">+IF(IFERROR(TEXT(INDEX(INDIRECT("Pianificazione!e1:e300"),MATCH($A3&amp;H$1,INDIRECT("Pianificazione!c1:c300")&amp;INDIRECT("Pianificazione!a1:a300"),0)),"hh:mm"),"")&amp;"-"&amp;IFERROR(TEXT(INDEX(INDIRECT("Pianificazione!f1:f300"),MATCH($A3&amp;H$1,INDIRECT("Pianificazione!c1:c300")&amp;INDIRECT("Pianificazione!a1:a300"),0)),"hh:mm"),"")="-","Riposo",IFERROR(TEXT(INDEX(INDIRECT("Pianificazione!e1:e300"),MATCH($A3&amp;H$1,INDIRECT("Pianificazione!c1:c300")&amp;INDIRECT("Pianificazione!a1:a300"),0)),"hh:mm"),"")&amp;"-"&amp;IFERROR(TEXT(INDEX(INDIRECT("Pianificazione!f1:f300"),MATCH($A3&amp;H$1,INDIRECT("Pianificazione!c1:c300")&amp;INDIRECT("Pianificazione!a1:a300"),0)),"hh:mm"),""))</f>
        <v>Riposo</v>
      </c>
      <c r="J3" s="3">
        <v>1</v>
      </c>
    </row>
    <row r="4" spans="1:19">
      <c r="A4" t="str">
        <f>+Risorse!B4</f>
        <v>Petta Vanessa</v>
      </c>
      <c r="B4" s="14" t="str" cm="1">
        <f t="array" aca="1" ref="B4" ca="1">+IF(IFERROR(TEXT(INDEX(INDIRECT("Pianificazione!e1:e300"),MATCH($A4&amp;B$1,INDIRECT("Pianificazione!c1:c300")&amp;INDIRECT("Pianificazione!a1:a300"),0)),"hh:mm"),"")&amp;"-"&amp;IFERROR(TEXT(INDEX(INDIRECT("Pianificazione!f1:f300"),MATCH($A4&amp;B$1,INDIRECT("Pianificazione!c1:c300")&amp;INDIRECT("Pianificazione!a1:a300"),0)),"hh:mm"),"")="-","Riposo",IFERROR(TEXT(INDEX(INDIRECT("Pianificazione!e1:e300"),MATCH($A4&amp;B$1,INDIRECT("Pianificazione!c1:c300")&amp;INDIRECT("Pianificazione!a1:a300"),0)),"hh:mm"),"")&amp;"-"&amp;IFERROR(TEXT(INDEX(INDIRECT("Pianificazione!f1:f300"),MATCH($A4&amp;B$1,INDIRECT("Pianificazione!c1:c300")&amp;INDIRECT("Pianificazione!a1:a300"),0)),"hh:mm"),""))</f>
        <v>Riposo</v>
      </c>
      <c r="C4" s="14" t="str" cm="1">
        <f t="array" aca="1" ref="C4" ca="1">+IF(IFERROR(TEXT(INDEX(INDIRECT("Pianificazione!e1:e300"),MATCH($A4&amp;C$1,INDIRECT("Pianificazione!c1:c300")&amp;INDIRECT("Pianificazione!a1:a300"),0)),"hh:mm"),"")&amp;"-"&amp;IFERROR(TEXT(INDEX(INDIRECT("Pianificazione!f1:f300"),MATCH($A4&amp;C$1,INDIRECT("Pianificazione!c1:c300")&amp;INDIRECT("Pianificazione!a1:a300"),0)),"hh:mm"),"")="-","Riposo",IFERROR(TEXT(INDEX(INDIRECT("Pianificazione!e1:e300"),MATCH($A4&amp;C$1,INDIRECT("Pianificazione!c1:c300")&amp;INDIRECT("Pianificazione!a1:a300"),0)),"hh:mm"),"")&amp;"-"&amp;IFERROR(TEXT(INDEX(INDIRECT("Pianificazione!f1:f300"),MATCH($A4&amp;C$1,INDIRECT("Pianificazione!c1:c300")&amp;INDIRECT("Pianificazione!a1:a300"),0)),"hh:mm"),""))</f>
        <v>Riposo</v>
      </c>
      <c r="D4" s="14" t="str" cm="1">
        <f t="array" aca="1" ref="D4" ca="1">+IF(IFERROR(TEXT(INDEX(INDIRECT("Pianificazione!e1:e300"),MATCH($A4&amp;D$1,INDIRECT("Pianificazione!c1:c300")&amp;INDIRECT("Pianificazione!a1:a300"),0)),"hh:mm"),"")&amp;"-"&amp;IFERROR(TEXT(INDEX(INDIRECT("Pianificazione!f1:f300"),MATCH($A4&amp;D$1,INDIRECT("Pianificazione!c1:c300")&amp;INDIRECT("Pianificazione!a1:a300"),0)),"hh:mm"),"")="-","Riposo",IFERROR(TEXT(INDEX(INDIRECT("Pianificazione!e1:e300"),MATCH($A4&amp;D$1,INDIRECT("Pianificazione!c1:c300")&amp;INDIRECT("Pianificazione!a1:a300"),0)),"hh:mm"),"")&amp;"-"&amp;IFERROR(TEXT(INDEX(INDIRECT("Pianificazione!f1:f300"),MATCH($A4&amp;D$1,INDIRECT("Pianificazione!c1:c300")&amp;INDIRECT("Pianificazione!a1:a300"),0)),"hh:mm"),""))</f>
        <v>Riposo</v>
      </c>
      <c r="E4" s="14" t="str" cm="1">
        <f t="array" aca="1" ref="E4" ca="1">+IF(IFERROR(TEXT(INDEX(INDIRECT("Pianificazione!e1:e300"),MATCH($A4&amp;E$1,INDIRECT("Pianificazione!c1:c300")&amp;INDIRECT("Pianificazione!a1:a300"),0)),"hh:mm"),"")&amp;"-"&amp;IFERROR(TEXT(INDEX(INDIRECT("Pianificazione!f1:f300"),MATCH($A4&amp;E$1,INDIRECT("Pianificazione!c1:c300")&amp;INDIRECT("Pianificazione!a1:a300"),0)),"hh:mm"),"")="-","Riposo",IFERROR(TEXT(INDEX(INDIRECT("Pianificazione!e1:e300"),MATCH($A4&amp;E$1,INDIRECT("Pianificazione!c1:c300")&amp;INDIRECT("Pianificazione!a1:a300"),0)),"hh:mm"),"")&amp;"-"&amp;IFERROR(TEXT(INDEX(INDIRECT("Pianificazione!f1:f300"),MATCH($A4&amp;E$1,INDIRECT("Pianificazione!c1:c300")&amp;INDIRECT("Pianificazione!a1:a300"),0)),"hh:mm"),""))</f>
        <v>Riposo</v>
      </c>
      <c r="F4" s="14" t="str" cm="1">
        <f t="array" aca="1" ref="F4" ca="1">+IF(IFERROR(TEXT(INDEX(INDIRECT("Pianificazione!e1:e300"),MATCH($A4&amp;F$1,INDIRECT("Pianificazione!c1:c300")&amp;INDIRECT("Pianificazione!a1:a300"),0)),"hh:mm"),"")&amp;"-"&amp;IFERROR(TEXT(INDEX(INDIRECT("Pianificazione!f1:f300"),MATCH($A4&amp;F$1,INDIRECT("Pianificazione!c1:c300")&amp;INDIRECT("Pianificazione!a1:a300"),0)),"hh:mm"),"")="-","Riposo",IFERROR(TEXT(INDEX(INDIRECT("Pianificazione!e1:e300"),MATCH($A4&amp;F$1,INDIRECT("Pianificazione!c1:c300")&amp;INDIRECT("Pianificazione!a1:a300"),0)),"hh:mm"),"")&amp;"-"&amp;IFERROR(TEXT(INDEX(INDIRECT("Pianificazione!f1:f300"),MATCH($A4&amp;F$1,INDIRECT("Pianificazione!c1:c300")&amp;INDIRECT("Pianificazione!a1:a300"),0)),"hh:mm"),""))</f>
        <v>Riposo</v>
      </c>
      <c r="G4" s="14" t="str" cm="1">
        <f t="array" aca="1" ref="G4" ca="1">+IF(IFERROR(TEXT(INDEX(INDIRECT("Pianificazione!e1:e300"),MATCH($A4&amp;G$1,INDIRECT("Pianificazione!c1:c300")&amp;INDIRECT("Pianificazione!a1:a300"),0)),"hh:mm"),"")&amp;"-"&amp;IFERROR(TEXT(INDEX(INDIRECT("Pianificazione!f1:f300"),MATCH($A4&amp;G$1,INDIRECT("Pianificazione!c1:c300")&amp;INDIRECT("Pianificazione!a1:a300"),0)),"hh:mm"),"")="-","Riposo",IFERROR(TEXT(INDEX(INDIRECT("Pianificazione!e1:e300"),MATCH($A4&amp;G$1,INDIRECT("Pianificazione!c1:c300")&amp;INDIRECT("Pianificazione!a1:a300"),0)),"hh:mm"),"")&amp;"-"&amp;IFERROR(TEXT(INDEX(INDIRECT("Pianificazione!f1:f300"),MATCH($A4&amp;G$1,INDIRECT("Pianificazione!c1:c300")&amp;INDIRECT("Pianificazione!a1:a300"),0)),"hh:mm"),""))</f>
        <v>Riposo</v>
      </c>
      <c r="H4" s="14" t="str" cm="1">
        <f t="array" aca="1" ref="H4" ca="1">+IF(IFERROR(TEXT(INDEX(INDIRECT("Pianificazione!e1:e300"),MATCH($A4&amp;H$1,INDIRECT("Pianificazione!c1:c300")&amp;INDIRECT("Pianificazione!a1:a300"),0)),"hh:mm"),"")&amp;"-"&amp;IFERROR(TEXT(INDEX(INDIRECT("Pianificazione!f1:f300"),MATCH($A4&amp;H$1,INDIRECT("Pianificazione!c1:c300")&amp;INDIRECT("Pianificazione!a1:a300"),0)),"hh:mm"),"")="-","Riposo",IFERROR(TEXT(INDEX(INDIRECT("Pianificazione!e1:e300"),MATCH($A4&amp;H$1,INDIRECT("Pianificazione!c1:c300")&amp;INDIRECT("Pianificazione!a1:a300"),0)),"hh:mm"),"")&amp;"-"&amp;IFERROR(TEXT(INDEX(INDIRECT("Pianificazione!f1:f300"),MATCH($A4&amp;H$1,INDIRECT("Pianificazione!c1:c300")&amp;INDIRECT("Pianificazione!a1:a300"),0)),"hh:mm"),""))</f>
        <v>Riposo</v>
      </c>
      <c r="J4" s="3">
        <v>1</v>
      </c>
    </row>
    <row r="5" spans="1:19">
      <c r="A5" t="str">
        <f>+Risorse!B5</f>
        <v>Sole Valentina</v>
      </c>
      <c r="B5" s="14" t="str" cm="1">
        <f t="array" aca="1" ref="B5" ca="1">+IF(IFERROR(TEXT(INDEX(INDIRECT("Pianificazione!e1:e300"),MATCH($A5&amp;B$1,INDIRECT("Pianificazione!c1:c300")&amp;INDIRECT("Pianificazione!a1:a300"),0)),"hh:mm"),"")&amp;"-"&amp;IFERROR(TEXT(INDEX(INDIRECT("Pianificazione!f1:f300"),MATCH($A5&amp;B$1,INDIRECT("Pianificazione!c1:c300")&amp;INDIRECT("Pianificazione!a1:a300"),0)),"hh:mm"),"")="-","Riposo",IFERROR(TEXT(INDEX(INDIRECT("Pianificazione!e1:e300"),MATCH($A5&amp;B$1,INDIRECT("Pianificazione!c1:c300")&amp;INDIRECT("Pianificazione!a1:a300"),0)),"hh:mm"),"")&amp;"-"&amp;IFERROR(TEXT(INDEX(INDIRECT("Pianificazione!f1:f300"),MATCH($A5&amp;B$1,INDIRECT("Pianificazione!c1:c300")&amp;INDIRECT("Pianificazione!a1:a300"),0)),"hh:mm"),""))</f>
        <v>Riposo</v>
      </c>
      <c r="C5" s="14" t="str" cm="1">
        <f t="array" aca="1" ref="C5" ca="1">+IF(IFERROR(TEXT(INDEX(INDIRECT("Pianificazione!e1:e300"),MATCH($A5&amp;C$1,INDIRECT("Pianificazione!c1:c300")&amp;INDIRECT("Pianificazione!a1:a300"),0)),"hh:mm"),"")&amp;"-"&amp;IFERROR(TEXT(INDEX(INDIRECT("Pianificazione!f1:f300"),MATCH($A5&amp;C$1,INDIRECT("Pianificazione!c1:c300")&amp;INDIRECT("Pianificazione!a1:a300"),0)),"hh:mm"),"")="-","Riposo",IFERROR(TEXT(INDEX(INDIRECT("Pianificazione!e1:e300"),MATCH($A5&amp;C$1,INDIRECT("Pianificazione!c1:c300")&amp;INDIRECT("Pianificazione!a1:a300"),0)),"hh:mm"),"")&amp;"-"&amp;IFERROR(TEXT(INDEX(INDIRECT("Pianificazione!f1:f300"),MATCH($A5&amp;C$1,INDIRECT("Pianificazione!c1:c300")&amp;INDIRECT("Pianificazione!a1:a300"),0)),"hh:mm"),""))</f>
        <v>Riposo</v>
      </c>
      <c r="D5" s="14" t="str" cm="1">
        <f t="array" aca="1" ref="D5" ca="1">+IF(IFERROR(TEXT(INDEX(INDIRECT("Pianificazione!e1:e300"),MATCH($A5&amp;D$1,INDIRECT("Pianificazione!c1:c300")&amp;INDIRECT("Pianificazione!a1:a300"),0)),"hh:mm"),"")&amp;"-"&amp;IFERROR(TEXT(INDEX(INDIRECT("Pianificazione!f1:f300"),MATCH($A5&amp;D$1,INDIRECT("Pianificazione!c1:c300")&amp;INDIRECT("Pianificazione!a1:a300"),0)),"hh:mm"),"")="-","Riposo",IFERROR(TEXT(INDEX(INDIRECT("Pianificazione!e1:e300"),MATCH($A5&amp;D$1,INDIRECT("Pianificazione!c1:c300")&amp;INDIRECT("Pianificazione!a1:a300"),0)),"hh:mm"),"")&amp;"-"&amp;IFERROR(TEXT(INDEX(INDIRECT("Pianificazione!f1:f300"),MATCH($A5&amp;D$1,INDIRECT("Pianificazione!c1:c300")&amp;INDIRECT("Pianificazione!a1:a300"),0)),"hh:mm"),""))</f>
        <v>Riposo</v>
      </c>
      <c r="E5" s="14" t="str" cm="1">
        <f t="array" aca="1" ref="E5" ca="1">+IF(IFERROR(TEXT(INDEX(INDIRECT("Pianificazione!e1:e300"),MATCH($A5&amp;E$1,INDIRECT("Pianificazione!c1:c300")&amp;INDIRECT("Pianificazione!a1:a300"),0)),"hh:mm"),"")&amp;"-"&amp;IFERROR(TEXT(INDEX(INDIRECT("Pianificazione!f1:f300"),MATCH($A5&amp;E$1,INDIRECT("Pianificazione!c1:c300")&amp;INDIRECT("Pianificazione!a1:a300"),0)),"hh:mm"),"")="-","Riposo",IFERROR(TEXT(INDEX(INDIRECT("Pianificazione!e1:e300"),MATCH($A5&amp;E$1,INDIRECT("Pianificazione!c1:c300")&amp;INDIRECT("Pianificazione!a1:a300"),0)),"hh:mm"),"")&amp;"-"&amp;IFERROR(TEXT(INDEX(INDIRECT("Pianificazione!f1:f300"),MATCH($A5&amp;E$1,INDIRECT("Pianificazione!c1:c300")&amp;INDIRECT("Pianificazione!a1:a300"),0)),"hh:mm"),""))</f>
        <v>Riposo</v>
      </c>
      <c r="F5" s="14" t="str" cm="1">
        <f t="array" aca="1" ref="F5" ca="1">+IF(IFERROR(TEXT(INDEX(INDIRECT("Pianificazione!e1:e300"),MATCH($A5&amp;F$1,INDIRECT("Pianificazione!c1:c300")&amp;INDIRECT("Pianificazione!a1:a300"),0)),"hh:mm"),"")&amp;"-"&amp;IFERROR(TEXT(INDEX(INDIRECT("Pianificazione!f1:f300"),MATCH($A5&amp;F$1,INDIRECT("Pianificazione!c1:c300")&amp;INDIRECT("Pianificazione!a1:a300"),0)),"hh:mm"),"")="-","Riposo",IFERROR(TEXT(INDEX(INDIRECT("Pianificazione!e1:e300"),MATCH($A5&amp;F$1,INDIRECT("Pianificazione!c1:c300")&amp;INDIRECT("Pianificazione!a1:a300"),0)),"hh:mm"),"")&amp;"-"&amp;IFERROR(TEXT(INDEX(INDIRECT("Pianificazione!f1:f300"),MATCH($A5&amp;F$1,INDIRECT("Pianificazione!c1:c300")&amp;INDIRECT("Pianificazione!a1:a300"),0)),"hh:mm"),""))</f>
        <v>Riposo</v>
      </c>
      <c r="G5" s="14" t="str" cm="1">
        <f t="array" aca="1" ref="G5" ca="1">+IF(IFERROR(TEXT(INDEX(INDIRECT("Pianificazione!e1:e300"),MATCH($A5&amp;G$1,INDIRECT("Pianificazione!c1:c300")&amp;INDIRECT("Pianificazione!a1:a300"),0)),"hh:mm"),"")&amp;"-"&amp;IFERROR(TEXT(INDEX(INDIRECT("Pianificazione!f1:f300"),MATCH($A5&amp;G$1,INDIRECT("Pianificazione!c1:c300")&amp;INDIRECT("Pianificazione!a1:a300"),0)),"hh:mm"),"")="-","Riposo",IFERROR(TEXT(INDEX(INDIRECT("Pianificazione!e1:e300"),MATCH($A5&amp;G$1,INDIRECT("Pianificazione!c1:c300")&amp;INDIRECT("Pianificazione!a1:a300"),0)),"hh:mm"),"")&amp;"-"&amp;IFERROR(TEXT(INDEX(INDIRECT("Pianificazione!f1:f300"),MATCH($A5&amp;G$1,INDIRECT("Pianificazione!c1:c300")&amp;INDIRECT("Pianificazione!a1:a300"),0)),"hh:mm"),""))</f>
        <v>Riposo</v>
      </c>
      <c r="H5" s="14" t="str" cm="1">
        <f t="array" aca="1" ref="H5" ca="1">+IF(IFERROR(TEXT(INDEX(INDIRECT("Pianificazione!e1:e300"),MATCH($A5&amp;H$1,INDIRECT("Pianificazione!c1:c300")&amp;INDIRECT("Pianificazione!a1:a300"),0)),"hh:mm"),"")&amp;"-"&amp;IFERROR(TEXT(INDEX(INDIRECT("Pianificazione!f1:f300"),MATCH($A5&amp;H$1,INDIRECT("Pianificazione!c1:c300")&amp;INDIRECT("Pianificazione!a1:a300"),0)),"hh:mm"),"")="-","Riposo",IFERROR(TEXT(INDEX(INDIRECT("Pianificazione!e1:e300"),MATCH($A5&amp;H$1,INDIRECT("Pianificazione!c1:c300")&amp;INDIRECT("Pianificazione!a1:a300"),0)),"hh:mm"),"")&amp;"-"&amp;IFERROR(TEXT(INDEX(INDIRECT("Pianificazione!f1:f300"),MATCH($A5&amp;H$1,INDIRECT("Pianificazione!c1:c300")&amp;INDIRECT("Pianificazione!a1:a300"),0)),"hh:mm"),""))</f>
        <v>Riposo</v>
      </c>
      <c r="J5" s="3">
        <v>1</v>
      </c>
    </row>
    <row r="6" spans="1:19">
      <c r="A6" t="str">
        <f>+Risorse!B6</f>
        <v>Albanese Carmelino</v>
      </c>
      <c r="B6" s="14" t="str" cm="1">
        <f t="array" aca="1" ref="B6" ca="1">+IF(IFERROR(TEXT(INDEX(INDIRECT("Pianificazione!e1:e300"),MATCH($A6&amp;B$1,INDIRECT("Pianificazione!c1:c300")&amp;INDIRECT("Pianificazione!a1:a300"),0)),"hh:mm"),"")&amp;"-"&amp;IFERROR(TEXT(INDEX(INDIRECT("Pianificazione!f1:f300"),MATCH($A6&amp;B$1,INDIRECT("Pianificazione!c1:c300")&amp;INDIRECT("Pianificazione!a1:a300"),0)),"hh:mm"),"")="-","Riposo",IFERROR(TEXT(INDEX(INDIRECT("Pianificazione!e1:e300"),MATCH($A6&amp;B$1,INDIRECT("Pianificazione!c1:c300")&amp;INDIRECT("Pianificazione!a1:a300"),0)),"hh:mm"),"")&amp;"-"&amp;IFERROR(TEXT(INDEX(INDIRECT("Pianificazione!f1:f300"),MATCH($A6&amp;B$1,INDIRECT("Pianificazione!c1:c300")&amp;INDIRECT("Pianificazione!a1:a300"),0)),"hh:mm"),""))</f>
        <v>Riposo</v>
      </c>
      <c r="C6" s="14" t="str" cm="1">
        <f t="array" aca="1" ref="C6" ca="1">+IF(IFERROR(TEXT(INDEX(INDIRECT("Pianificazione!e1:e300"),MATCH($A6&amp;C$1,INDIRECT("Pianificazione!c1:c300")&amp;INDIRECT("Pianificazione!a1:a300"),0)),"hh:mm"),"")&amp;"-"&amp;IFERROR(TEXT(INDEX(INDIRECT("Pianificazione!f1:f300"),MATCH($A6&amp;C$1,INDIRECT("Pianificazione!c1:c300")&amp;INDIRECT("Pianificazione!a1:a300"),0)),"hh:mm"),"")="-","Riposo",IFERROR(TEXT(INDEX(INDIRECT("Pianificazione!e1:e300"),MATCH($A6&amp;C$1,INDIRECT("Pianificazione!c1:c300")&amp;INDIRECT("Pianificazione!a1:a300"),0)),"hh:mm"),"")&amp;"-"&amp;IFERROR(TEXT(INDEX(INDIRECT("Pianificazione!f1:f300"),MATCH($A6&amp;C$1,INDIRECT("Pianificazione!c1:c300")&amp;INDIRECT("Pianificazione!a1:a300"),0)),"hh:mm"),""))</f>
        <v>Riposo</v>
      </c>
      <c r="D6" s="14" t="str" cm="1">
        <f t="array" aca="1" ref="D6" ca="1">+IF(IFERROR(TEXT(INDEX(INDIRECT("Pianificazione!e1:e300"),MATCH($A6&amp;D$1,INDIRECT("Pianificazione!c1:c300")&amp;INDIRECT("Pianificazione!a1:a300"),0)),"hh:mm"),"")&amp;"-"&amp;IFERROR(TEXT(INDEX(INDIRECT("Pianificazione!f1:f300"),MATCH($A6&amp;D$1,INDIRECT("Pianificazione!c1:c300")&amp;INDIRECT("Pianificazione!a1:a300"),0)),"hh:mm"),"")="-","Riposo",IFERROR(TEXT(INDEX(INDIRECT("Pianificazione!e1:e300"),MATCH($A6&amp;D$1,INDIRECT("Pianificazione!c1:c300")&amp;INDIRECT("Pianificazione!a1:a300"),0)),"hh:mm"),"")&amp;"-"&amp;IFERROR(TEXT(INDEX(INDIRECT("Pianificazione!f1:f300"),MATCH($A6&amp;D$1,INDIRECT("Pianificazione!c1:c300")&amp;INDIRECT("Pianificazione!a1:a300"),0)),"hh:mm"),""))</f>
        <v>Riposo</v>
      </c>
      <c r="E6" s="14" t="str" cm="1">
        <f t="array" aca="1" ref="E6" ca="1">+IF(IFERROR(TEXT(INDEX(INDIRECT("Pianificazione!e1:e300"),MATCH($A6&amp;E$1,INDIRECT("Pianificazione!c1:c300")&amp;INDIRECT("Pianificazione!a1:a300"),0)),"hh:mm"),"")&amp;"-"&amp;IFERROR(TEXT(INDEX(INDIRECT("Pianificazione!f1:f300"),MATCH($A6&amp;E$1,INDIRECT("Pianificazione!c1:c300")&amp;INDIRECT("Pianificazione!a1:a300"),0)),"hh:mm"),"")="-","Riposo",IFERROR(TEXT(INDEX(INDIRECT("Pianificazione!e1:e300"),MATCH($A6&amp;E$1,INDIRECT("Pianificazione!c1:c300")&amp;INDIRECT("Pianificazione!a1:a300"),0)),"hh:mm"),"")&amp;"-"&amp;IFERROR(TEXT(INDEX(INDIRECT("Pianificazione!f1:f300"),MATCH($A6&amp;E$1,INDIRECT("Pianificazione!c1:c300")&amp;INDIRECT("Pianificazione!a1:a300"),0)),"hh:mm"),""))</f>
        <v>Riposo</v>
      </c>
      <c r="F6" s="14" t="str" cm="1">
        <f t="array" aca="1" ref="F6" ca="1">+IF(IFERROR(TEXT(INDEX(INDIRECT("Pianificazione!e1:e300"),MATCH($A6&amp;F$1,INDIRECT("Pianificazione!c1:c300")&amp;INDIRECT("Pianificazione!a1:a300"),0)),"hh:mm"),"")&amp;"-"&amp;IFERROR(TEXT(INDEX(INDIRECT("Pianificazione!f1:f300"),MATCH($A6&amp;F$1,INDIRECT("Pianificazione!c1:c300")&amp;INDIRECT("Pianificazione!a1:a300"),0)),"hh:mm"),"")="-","Riposo",IFERROR(TEXT(INDEX(INDIRECT("Pianificazione!e1:e300"),MATCH($A6&amp;F$1,INDIRECT("Pianificazione!c1:c300")&amp;INDIRECT("Pianificazione!a1:a300"),0)),"hh:mm"),"")&amp;"-"&amp;IFERROR(TEXT(INDEX(INDIRECT("Pianificazione!f1:f300"),MATCH($A6&amp;F$1,INDIRECT("Pianificazione!c1:c300")&amp;INDIRECT("Pianificazione!a1:a300"),0)),"hh:mm"),""))</f>
        <v>Riposo</v>
      </c>
      <c r="G6" s="14" t="str" cm="1">
        <f t="array" aca="1" ref="G6" ca="1">+IF(IFERROR(TEXT(INDEX(INDIRECT("Pianificazione!e1:e300"),MATCH($A6&amp;G$1,INDIRECT("Pianificazione!c1:c300")&amp;INDIRECT("Pianificazione!a1:a300"),0)),"hh:mm"),"")&amp;"-"&amp;IFERROR(TEXT(INDEX(INDIRECT("Pianificazione!f1:f300"),MATCH($A6&amp;G$1,INDIRECT("Pianificazione!c1:c300")&amp;INDIRECT("Pianificazione!a1:a300"),0)),"hh:mm"),"")="-","Riposo",IFERROR(TEXT(INDEX(INDIRECT("Pianificazione!e1:e300"),MATCH($A6&amp;G$1,INDIRECT("Pianificazione!c1:c300")&amp;INDIRECT("Pianificazione!a1:a300"),0)),"hh:mm"),"")&amp;"-"&amp;IFERROR(TEXT(INDEX(INDIRECT("Pianificazione!f1:f300"),MATCH($A6&amp;G$1,INDIRECT("Pianificazione!c1:c300")&amp;INDIRECT("Pianificazione!a1:a300"),0)),"hh:mm"),""))</f>
        <v>Riposo</v>
      </c>
      <c r="H6" s="14" t="str" cm="1">
        <f t="array" aca="1" ref="H6" ca="1">+IF(IFERROR(TEXT(INDEX(INDIRECT("Pianificazione!e1:e300"),MATCH($A6&amp;H$1,INDIRECT("Pianificazione!c1:c300")&amp;INDIRECT("Pianificazione!a1:a300"),0)),"hh:mm"),"")&amp;"-"&amp;IFERROR(TEXT(INDEX(INDIRECT("Pianificazione!f1:f300"),MATCH($A6&amp;H$1,INDIRECT("Pianificazione!c1:c300")&amp;INDIRECT("Pianificazione!a1:a300"),0)),"hh:mm"),"")="-","Riposo",IFERROR(TEXT(INDEX(INDIRECT("Pianificazione!e1:e300"),MATCH($A6&amp;H$1,INDIRECT("Pianificazione!c1:c300")&amp;INDIRECT("Pianificazione!a1:a300"),0)),"hh:mm"),"")&amp;"-"&amp;IFERROR(TEXT(INDEX(INDIRECT("Pianificazione!f1:f300"),MATCH($A6&amp;H$1,INDIRECT("Pianificazione!c1:c300")&amp;INDIRECT("Pianificazione!a1:a300"),0)),"hh:mm"),""))</f>
        <v>Riposo</v>
      </c>
      <c r="J6" s="3">
        <v>1</v>
      </c>
    </row>
    <row r="7" spans="1:19">
      <c r="A7" t="str">
        <f>+Risorse!B7</f>
        <v>Borsellino Antonino</v>
      </c>
      <c r="B7" s="14" t="str" cm="1">
        <f t="array" aca="1" ref="B7" ca="1">+IF(IFERROR(TEXT(INDEX(INDIRECT("Pianificazione!e1:e300"),MATCH($A7&amp;B$1,INDIRECT("Pianificazione!c1:c300")&amp;INDIRECT("Pianificazione!a1:a300"),0)),"hh:mm"),"")&amp;"-"&amp;IFERROR(TEXT(INDEX(INDIRECT("Pianificazione!f1:f300"),MATCH($A7&amp;B$1,INDIRECT("Pianificazione!c1:c300")&amp;INDIRECT("Pianificazione!a1:a300"),0)),"hh:mm"),"")="-","Riposo",IFERROR(TEXT(INDEX(INDIRECT("Pianificazione!e1:e300"),MATCH($A7&amp;B$1,INDIRECT("Pianificazione!c1:c300")&amp;INDIRECT("Pianificazione!a1:a300"),0)),"hh:mm"),"")&amp;"-"&amp;IFERROR(TEXT(INDEX(INDIRECT("Pianificazione!f1:f300"),MATCH($A7&amp;B$1,INDIRECT("Pianificazione!c1:c300")&amp;INDIRECT("Pianificazione!a1:a300"),0)),"hh:mm"),""))</f>
        <v>Riposo</v>
      </c>
      <c r="C7" s="14" t="str" cm="1">
        <f t="array" aca="1" ref="C7" ca="1">+IF(IFERROR(TEXT(INDEX(INDIRECT("Pianificazione!e1:e300"),MATCH($A7&amp;C$1,INDIRECT("Pianificazione!c1:c300")&amp;INDIRECT("Pianificazione!a1:a300"),0)),"hh:mm"),"")&amp;"-"&amp;IFERROR(TEXT(INDEX(INDIRECT("Pianificazione!f1:f300"),MATCH($A7&amp;C$1,INDIRECT("Pianificazione!c1:c300")&amp;INDIRECT("Pianificazione!a1:a300"),0)),"hh:mm"),"")="-","Riposo",IFERROR(TEXT(INDEX(INDIRECT("Pianificazione!e1:e300"),MATCH($A7&amp;C$1,INDIRECT("Pianificazione!c1:c300")&amp;INDIRECT("Pianificazione!a1:a300"),0)),"hh:mm"),"")&amp;"-"&amp;IFERROR(TEXT(INDEX(INDIRECT("Pianificazione!f1:f300"),MATCH($A7&amp;C$1,INDIRECT("Pianificazione!c1:c300")&amp;INDIRECT("Pianificazione!a1:a300"),0)),"hh:mm"),""))</f>
        <v>Riposo</v>
      </c>
      <c r="D7" s="14" t="str" cm="1">
        <f t="array" aca="1" ref="D7" ca="1">+IF(IFERROR(TEXT(INDEX(INDIRECT("Pianificazione!e1:e300"),MATCH($A7&amp;D$1,INDIRECT("Pianificazione!c1:c300")&amp;INDIRECT("Pianificazione!a1:a300"),0)),"hh:mm"),"")&amp;"-"&amp;IFERROR(TEXT(INDEX(INDIRECT("Pianificazione!f1:f300"),MATCH($A7&amp;D$1,INDIRECT("Pianificazione!c1:c300")&amp;INDIRECT("Pianificazione!a1:a300"),0)),"hh:mm"),"")="-","Riposo",IFERROR(TEXT(INDEX(INDIRECT("Pianificazione!e1:e300"),MATCH($A7&amp;D$1,INDIRECT("Pianificazione!c1:c300")&amp;INDIRECT("Pianificazione!a1:a300"),0)),"hh:mm"),"")&amp;"-"&amp;IFERROR(TEXT(INDEX(INDIRECT("Pianificazione!f1:f300"),MATCH($A7&amp;D$1,INDIRECT("Pianificazione!c1:c300")&amp;INDIRECT("Pianificazione!a1:a300"),0)),"hh:mm"),""))</f>
        <v>Riposo</v>
      </c>
      <c r="E7" s="14" t="str" cm="1">
        <f t="array" aca="1" ref="E7" ca="1">+IF(IFERROR(TEXT(INDEX(INDIRECT("Pianificazione!e1:e300"),MATCH($A7&amp;E$1,INDIRECT("Pianificazione!c1:c300")&amp;INDIRECT("Pianificazione!a1:a300"),0)),"hh:mm"),"")&amp;"-"&amp;IFERROR(TEXT(INDEX(INDIRECT("Pianificazione!f1:f300"),MATCH($A7&amp;E$1,INDIRECT("Pianificazione!c1:c300")&amp;INDIRECT("Pianificazione!a1:a300"),0)),"hh:mm"),"")="-","Riposo",IFERROR(TEXT(INDEX(INDIRECT("Pianificazione!e1:e300"),MATCH($A7&amp;E$1,INDIRECT("Pianificazione!c1:c300")&amp;INDIRECT("Pianificazione!a1:a300"),0)),"hh:mm"),"")&amp;"-"&amp;IFERROR(TEXT(INDEX(INDIRECT("Pianificazione!f1:f300"),MATCH($A7&amp;E$1,INDIRECT("Pianificazione!c1:c300")&amp;INDIRECT("Pianificazione!a1:a300"),0)),"hh:mm"),""))</f>
        <v>Riposo</v>
      </c>
      <c r="F7" s="14" t="str" cm="1">
        <f t="array" aca="1" ref="F7" ca="1">+IF(IFERROR(TEXT(INDEX(INDIRECT("Pianificazione!e1:e300"),MATCH($A7&amp;F$1,INDIRECT("Pianificazione!c1:c300")&amp;INDIRECT("Pianificazione!a1:a300"),0)),"hh:mm"),"")&amp;"-"&amp;IFERROR(TEXT(INDEX(INDIRECT("Pianificazione!f1:f300"),MATCH($A7&amp;F$1,INDIRECT("Pianificazione!c1:c300")&amp;INDIRECT("Pianificazione!a1:a300"),0)),"hh:mm"),"")="-","Riposo",IFERROR(TEXT(INDEX(INDIRECT("Pianificazione!e1:e300"),MATCH($A7&amp;F$1,INDIRECT("Pianificazione!c1:c300")&amp;INDIRECT("Pianificazione!a1:a300"),0)),"hh:mm"),"")&amp;"-"&amp;IFERROR(TEXT(INDEX(INDIRECT("Pianificazione!f1:f300"),MATCH($A7&amp;F$1,INDIRECT("Pianificazione!c1:c300")&amp;INDIRECT("Pianificazione!a1:a300"),0)),"hh:mm"),""))</f>
        <v>Riposo</v>
      </c>
      <c r="G7" s="14" t="str" cm="1">
        <f t="array" aca="1" ref="G7" ca="1">+IF(IFERROR(TEXT(INDEX(INDIRECT("Pianificazione!e1:e300"),MATCH($A7&amp;G$1,INDIRECT("Pianificazione!c1:c300")&amp;INDIRECT("Pianificazione!a1:a300"),0)),"hh:mm"),"")&amp;"-"&amp;IFERROR(TEXT(INDEX(INDIRECT("Pianificazione!f1:f300"),MATCH($A7&amp;G$1,INDIRECT("Pianificazione!c1:c300")&amp;INDIRECT("Pianificazione!a1:a300"),0)),"hh:mm"),"")="-","Riposo",IFERROR(TEXT(INDEX(INDIRECT("Pianificazione!e1:e300"),MATCH($A7&amp;G$1,INDIRECT("Pianificazione!c1:c300")&amp;INDIRECT("Pianificazione!a1:a300"),0)),"hh:mm"),"")&amp;"-"&amp;IFERROR(TEXT(INDEX(INDIRECT("Pianificazione!f1:f300"),MATCH($A7&amp;G$1,INDIRECT("Pianificazione!c1:c300")&amp;INDIRECT("Pianificazione!a1:a300"),0)),"hh:mm"),""))</f>
        <v>Riposo</v>
      </c>
      <c r="H7" s="14" t="str" cm="1">
        <f t="array" aca="1" ref="H7" ca="1">+IF(IFERROR(TEXT(INDEX(INDIRECT("Pianificazione!e1:e300"),MATCH($A7&amp;H$1,INDIRECT("Pianificazione!c1:c300")&amp;INDIRECT("Pianificazione!a1:a300"),0)),"hh:mm"),"")&amp;"-"&amp;IFERROR(TEXT(INDEX(INDIRECT("Pianificazione!f1:f300"),MATCH($A7&amp;H$1,INDIRECT("Pianificazione!c1:c300")&amp;INDIRECT("Pianificazione!a1:a300"),0)),"hh:mm"),"")="-","Riposo",IFERROR(TEXT(INDEX(INDIRECT("Pianificazione!e1:e300"),MATCH($A7&amp;H$1,INDIRECT("Pianificazione!c1:c300")&amp;INDIRECT("Pianificazione!a1:a300"),0)),"hh:mm"),"")&amp;"-"&amp;IFERROR(TEXT(INDEX(INDIRECT("Pianificazione!f1:f300"),MATCH($A7&amp;H$1,INDIRECT("Pianificazione!c1:c300")&amp;INDIRECT("Pianificazione!a1:a300"),0)),"hh:mm"),""))</f>
        <v>Riposo</v>
      </c>
      <c r="J7" s="3">
        <v>1</v>
      </c>
    </row>
    <row r="8" spans="1:19">
      <c r="A8" t="str">
        <f>+Risorse!B8</f>
        <v>Burgio Rosa</v>
      </c>
      <c r="B8" s="14" t="str" cm="1">
        <f t="array" aca="1" ref="B8" ca="1">+IF(IFERROR(TEXT(INDEX(INDIRECT("Pianificazione!e1:e300"),MATCH($A8&amp;B$1,INDIRECT("Pianificazione!c1:c300")&amp;INDIRECT("Pianificazione!a1:a300"),0)),"hh:mm"),"")&amp;"-"&amp;IFERROR(TEXT(INDEX(INDIRECT("Pianificazione!f1:f300"),MATCH($A8&amp;B$1,INDIRECT("Pianificazione!c1:c300")&amp;INDIRECT("Pianificazione!a1:a300"),0)),"hh:mm"),"")="-","Riposo",IFERROR(TEXT(INDEX(INDIRECT("Pianificazione!e1:e300"),MATCH($A8&amp;B$1,INDIRECT("Pianificazione!c1:c300")&amp;INDIRECT("Pianificazione!a1:a300"),0)),"hh:mm"),"")&amp;"-"&amp;IFERROR(TEXT(INDEX(INDIRECT("Pianificazione!f1:f300"),MATCH($A8&amp;B$1,INDIRECT("Pianificazione!c1:c300")&amp;INDIRECT("Pianificazione!a1:a300"),0)),"hh:mm"),""))</f>
        <v>Riposo</v>
      </c>
      <c r="C8" s="14" t="str" cm="1">
        <f t="array" aca="1" ref="C8" ca="1">+IF(IFERROR(TEXT(INDEX(INDIRECT("Pianificazione!e1:e300"),MATCH($A8&amp;C$1,INDIRECT("Pianificazione!c1:c300")&amp;INDIRECT("Pianificazione!a1:a300"),0)),"hh:mm"),"")&amp;"-"&amp;IFERROR(TEXT(INDEX(INDIRECT("Pianificazione!f1:f300"),MATCH($A8&amp;C$1,INDIRECT("Pianificazione!c1:c300")&amp;INDIRECT("Pianificazione!a1:a300"),0)),"hh:mm"),"")="-","Riposo",IFERROR(TEXT(INDEX(INDIRECT("Pianificazione!e1:e300"),MATCH($A8&amp;C$1,INDIRECT("Pianificazione!c1:c300")&amp;INDIRECT("Pianificazione!a1:a300"),0)),"hh:mm"),"")&amp;"-"&amp;IFERROR(TEXT(INDEX(INDIRECT("Pianificazione!f1:f300"),MATCH($A8&amp;C$1,INDIRECT("Pianificazione!c1:c300")&amp;INDIRECT("Pianificazione!a1:a300"),0)),"hh:mm"),""))</f>
        <v>Riposo</v>
      </c>
      <c r="D8" s="14" t="str" cm="1">
        <f t="array" aca="1" ref="D8" ca="1">+IF(IFERROR(TEXT(INDEX(INDIRECT("Pianificazione!e1:e300"),MATCH($A8&amp;D$1,INDIRECT("Pianificazione!c1:c300")&amp;INDIRECT("Pianificazione!a1:a300"),0)),"hh:mm"),"")&amp;"-"&amp;IFERROR(TEXT(INDEX(INDIRECT("Pianificazione!f1:f300"),MATCH($A8&amp;D$1,INDIRECT("Pianificazione!c1:c300")&amp;INDIRECT("Pianificazione!a1:a300"),0)),"hh:mm"),"")="-","Riposo",IFERROR(TEXT(INDEX(INDIRECT("Pianificazione!e1:e300"),MATCH($A8&amp;D$1,INDIRECT("Pianificazione!c1:c300")&amp;INDIRECT("Pianificazione!a1:a300"),0)),"hh:mm"),"")&amp;"-"&amp;IFERROR(TEXT(INDEX(INDIRECT("Pianificazione!f1:f300"),MATCH($A8&amp;D$1,INDIRECT("Pianificazione!c1:c300")&amp;INDIRECT("Pianificazione!a1:a300"),0)),"hh:mm"),""))</f>
        <v>Riposo</v>
      </c>
      <c r="E8" s="14" t="str" cm="1">
        <f t="array" aca="1" ref="E8" ca="1">+IF(IFERROR(TEXT(INDEX(INDIRECT("Pianificazione!e1:e300"),MATCH($A8&amp;E$1,INDIRECT("Pianificazione!c1:c300")&amp;INDIRECT("Pianificazione!a1:a300"),0)),"hh:mm"),"")&amp;"-"&amp;IFERROR(TEXT(INDEX(INDIRECT("Pianificazione!f1:f300"),MATCH($A8&amp;E$1,INDIRECT("Pianificazione!c1:c300")&amp;INDIRECT("Pianificazione!a1:a300"),0)),"hh:mm"),"")="-","Riposo",IFERROR(TEXT(INDEX(INDIRECT("Pianificazione!e1:e300"),MATCH($A8&amp;E$1,INDIRECT("Pianificazione!c1:c300")&amp;INDIRECT("Pianificazione!a1:a300"),0)),"hh:mm"),"")&amp;"-"&amp;IFERROR(TEXT(INDEX(INDIRECT("Pianificazione!f1:f300"),MATCH($A8&amp;E$1,INDIRECT("Pianificazione!c1:c300")&amp;INDIRECT("Pianificazione!a1:a300"),0)),"hh:mm"),""))</f>
        <v>Riposo</v>
      </c>
      <c r="F8" s="14" t="str" cm="1">
        <f t="array" aca="1" ref="F8" ca="1">+IF(IFERROR(TEXT(INDEX(INDIRECT("Pianificazione!e1:e300"),MATCH($A8&amp;F$1,INDIRECT("Pianificazione!c1:c300")&amp;INDIRECT("Pianificazione!a1:a300"),0)),"hh:mm"),"")&amp;"-"&amp;IFERROR(TEXT(INDEX(INDIRECT("Pianificazione!f1:f300"),MATCH($A8&amp;F$1,INDIRECT("Pianificazione!c1:c300")&amp;INDIRECT("Pianificazione!a1:a300"),0)),"hh:mm"),"")="-","Riposo",IFERROR(TEXT(INDEX(INDIRECT("Pianificazione!e1:e300"),MATCH($A8&amp;F$1,INDIRECT("Pianificazione!c1:c300")&amp;INDIRECT("Pianificazione!a1:a300"),0)),"hh:mm"),"")&amp;"-"&amp;IFERROR(TEXT(INDEX(INDIRECT("Pianificazione!f1:f300"),MATCH($A8&amp;F$1,INDIRECT("Pianificazione!c1:c300")&amp;INDIRECT("Pianificazione!a1:a300"),0)),"hh:mm"),""))</f>
        <v>Riposo</v>
      </c>
      <c r="G8" s="14" t="str" cm="1">
        <f t="array" aca="1" ref="G8" ca="1">+IF(IFERROR(TEXT(INDEX(INDIRECT("Pianificazione!e1:e300"),MATCH($A8&amp;G$1,INDIRECT("Pianificazione!c1:c300")&amp;INDIRECT("Pianificazione!a1:a300"),0)),"hh:mm"),"")&amp;"-"&amp;IFERROR(TEXT(INDEX(INDIRECT("Pianificazione!f1:f300"),MATCH($A8&amp;G$1,INDIRECT("Pianificazione!c1:c300")&amp;INDIRECT("Pianificazione!a1:a300"),0)),"hh:mm"),"")="-","Riposo",IFERROR(TEXT(INDEX(INDIRECT("Pianificazione!e1:e300"),MATCH($A8&amp;G$1,INDIRECT("Pianificazione!c1:c300")&amp;INDIRECT("Pianificazione!a1:a300"),0)),"hh:mm"),"")&amp;"-"&amp;IFERROR(TEXT(INDEX(INDIRECT("Pianificazione!f1:f300"),MATCH($A8&amp;G$1,INDIRECT("Pianificazione!c1:c300")&amp;INDIRECT("Pianificazione!a1:a300"),0)),"hh:mm"),""))</f>
        <v>Riposo</v>
      </c>
      <c r="H8" s="14" t="str" cm="1">
        <f t="array" aca="1" ref="H8" ca="1">+IF(IFERROR(TEXT(INDEX(INDIRECT("Pianificazione!e1:e300"),MATCH($A8&amp;H$1,INDIRECT("Pianificazione!c1:c300")&amp;INDIRECT("Pianificazione!a1:a300"),0)),"hh:mm"),"")&amp;"-"&amp;IFERROR(TEXT(INDEX(INDIRECT("Pianificazione!f1:f300"),MATCH($A8&amp;H$1,INDIRECT("Pianificazione!c1:c300")&amp;INDIRECT("Pianificazione!a1:a300"),0)),"hh:mm"),"")="-","Riposo",IFERROR(TEXT(INDEX(INDIRECT("Pianificazione!e1:e300"),MATCH($A8&amp;H$1,INDIRECT("Pianificazione!c1:c300")&amp;INDIRECT("Pianificazione!a1:a300"),0)),"hh:mm"),"")&amp;"-"&amp;IFERROR(TEXT(INDEX(INDIRECT("Pianificazione!f1:f300"),MATCH($A8&amp;H$1,INDIRECT("Pianificazione!c1:c300")&amp;INDIRECT("Pianificazione!a1:a300"),0)),"hh:mm"),""))</f>
        <v>Riposo</v>
      </c>
      <c r="J8" s="3">
        <v>1</v>
      </c>
    </row>
    <row r="9" spans="1:19">
      <c r="A9" t="e">
        <f>+Risorse!#REF!</f>
        <v>#REF!</v>
      </c>
      <c r="B9" s="14" t="str" cm="1">
        <f t="array" aca="1" ref="B9" ca="1">+IF(IFERROR(TEXT(INDEX(INDIRECT("Pianificazione!e1:e300"),MATCH($A9&amp;B$1,INDIRECT("Pianificazione!c1:c300")&amp;INDIRECT("Pianificazione!a1:a300"),0)),"hh:mm"),"")&amp;"-"&amp;IFERROR(TEXT(INDEX(INDIRECT("Pianificazione!f1:f300"),MATCH($A9&amp;B$1,INDIRECT("Pianificazione!c1:c300")&amp;INDIRECT("Pianificazione!a1:a300"),0)),"hh:mm"),"")="-","Riposo",IFERROR(TEXT(INDEX(INDIRECT("Pianificazione!e1:e300"),MATCH($A9&amp;B$1,INDIRECT("Pianificazione!c1:c300")&amp;INDIRECT("Pianificazione!a1:a300"),0)),"hh:mm"),"")&amp;"-"&amp;IFERROR(TEXT(INDEX(INDIRECT("Pianificazione!f1:f300"),MATCH($A9&amp;B$1,INDIRECT("Pianificazione!c1:c300")&amp;INDIRECT("Pianificazione!a1:a300"),0)),"hh:mm"),""))</f>
        <v>Riposo</v>
      </c>
      <c r="C9" s="14" t="str" cm="1">
        <f t="array" aca="1" ref="C9" ca="1">+IF(IFERROR(TEXT(INDEX(INDIRECT("Pianificazione!e1:e300"),MATCH($A9&amp;C$1,INDIRECT("Pianificazione!c1:c300")&amp;INDIRECT("Pianificazione!a1:a300"),0)),"hh:mm"),"")&amp;"-"&amp;IFERROR(TEXT(INDEX(INDIRECT("Pianificazione!f1:f300"),MATCH($A9&amp;C$1,INDIRECT("Pianificazione!c1:c300")&amp;INDIRECT("Pianificazione!a1:a300"),0)),"hh:mm"),"")="-","Riposo",IFERROR(TEXT(INDEX(INDIRECT("Pianificazione!e1:e300"),MATCH($A9&amp;C$1,INDIRECT("Pianificazione!c1:c300")&amp;INDIRECT("Pianificazione!a1:a300"),0)),"hh:mm"),"")&amp;"-"&amp;IFERROR(TEXT(INDEX(INDIRECT("Pianificazione!f1:f300"),MATCH($A9&amp;C$1,INDIRECT("Pianificazione!c1:c300")&amp;INDIRECT("Pianificazione!a1:a300"),0)),"hh:mm"),""))</f>
        <v>Riposo</v>
      </c>
      <c r="D9" s="14" t="str" cm="1">
        <f t="array" aca="1" ref="D9" ca="1">+IF(IFERROR(TEXT(INDEX(INDIRECT("Pianificazione!e1:e300"),MATCH($A9&amp;D$1,INDIRECT("Pianificazione!c1:c300")&amp;INDIRECT("Pianificazione!a1:a300"),0)),"hh:mm"),"")&amp;"-"&amp;IFERROR(TEXT(INDEX(INDIRECT("Pianificazione!f1:f300"),MATCH($A9&amp;D$1,INDIRECT("Pianificazione!c1:c300")&amp;INDIRECT("Pianificazione!a1:a300"),0)),"hh:mm"),"")="-","Riposo",IFERROR(TEXT(INDEX(INDIRECT("Pianificazione!e1:e300"),MATCH($A9&amp;D$1,INDIRECT("Pianificazione!c1:c300")&amp;INDIRECT("Pianificazione!a1:a300"),0)),"hh:mm"),"")&amp;"-"&amp;IFERROR(TEXT(INDEX(INDIRECT("Pianificazione!f1:f300"),MATCH($A9&amp;D$1,INDIRECT("Pianificazione!c1:c300")&amp;INDIRECT("Pianificazione!a1:a300"),0)),"hh:mm"),""))</f>
        <v>Riposo</v>
      </c>
      <c r="E9" s="14" t="str" cm="1">
        <f t="array" aca="1" ref="E9" ca="1">+IF(IFERROR(TEXT(INDEX(INDIRECT("Pianificazione!e1:e300"),MATCH($A9&amp;E$1,INDIRECT("Pianificazione!c1:c300")&amp;INDIRECT("Pianificazione!a1:a300"),0)),"hh:mm"),"")&amp;"-"&amp;IFERROR(TEXT(INDEX(INDIRECT("Pianificazione!f1:f300"),MATCH($A9&amp;E$1,INDIRECT("Pianificazione!c1:c300")&amp;INDIRECT("Pianificazione!a1:a300"),0)),"hh:mm"),"")="-","Riposo",IFERROR(TEXT(INDEX(INDIRECT("Pianificazione!e1:e300"),MATCH($A9&amp;E$1,INDIRECT("Pianificazione!c1:c300")&amp;INDIRECT("Pianificazione!a1:a300"),0)),"hh:mm"),"")&amp;"-"&amp;IFERROR(TEXT(INDEX(INDIRECT("Pianificazione!f1:f300"),MATCH($A9&amp;E$1,INDIRECT("Pianificazione!c1:c300")&amp;INDIRECT("Pianificazione!a1:a300"),0)),"hh:mm"),""))</f>
        <v>Riposo</v>
      </c>
      <c r="F9" s="14" t="str" cm="1">
        <f t="array" aca="1" ref="F9" ca="1">+IF(IFERROR(TEXT(INDEX(INDIRECT("Pianificazione!e1:e300"),MATCH($A9&amp;F$1,INDIRECT("Pianificazione!c1:c300")&amp;INDIRECT("Pianificazione!a1:a300"),0)),"hh:mm"),"")&amp;"-"&amp;IFERROR(TEXT(INDEX(INDIRECT("Pianificazione!f1:f300"),MATCH($A9&amp;F$1,INDIRECT("Pianificazione!c1:c300")&amp;INDIRECT("Pianificazione!a1:a300"),0)),"hh:mm"),"")="-","Riposo",IFERROR(TEXT(INDEX(INDIRECT("Pianificazione!e1:e300"),MATCH($A9&amp;F$1,INDIRECT("Pianificazione!c1:c300")&amp;INDIRECT("Pianificazione!a1:a300"),0)),"hh:mm"),"")&amp;"-"&amp;IFERROR(TEXT(INDEX(INDIRECT("Pianificazione!f1:f300"),MATCH($A9&amp;F$1,INDIRECT("Pianificazione!c1:c300")&amp;INDIRECT("Pianificazione!a1:a300"),0)),"hh:mm"),""))</f>
        <v>Riposo</v>
      </c>
      <c r="G9" s="14" t="str" cm="1">
        <f t="array" aca="1" ref="G9" ca="1">+IF(IFERROR(TEXT(INDEX(INDIRECT("Pianificazione!e1:e300"),MATCH($A9&amp;G$1,INDIRECT("Pianificazione!c1:c300")&amp;INDIRECT("Pianificazione!a1:a300"),0)),"hh:mm"),"")&amp;"-"&amp;IFERROR(TEXT(INDEX(INDIRECT("Pianificazione!f1:f300"),MATCH($A9&amp;G$1,INDIRECT("Pianificazione!c1:c300")&amp;INDIRECT("Pianificazione!a1:a300"),0)),"hh:mm"),"")="-","Riposo",IFERROR(TEXT(INDEX(INDIRECT("Pianificazione!e1:e300"),MATCH($A9&amp;G$1,INDIRECT("Pianificazione!c1:c300")&amp;INDIRECT("Pianificazione!a1:a300"),0)),"hh:mm"),"")&amp;"-"&amp;IFERROR(TEXT(INDEX(INDIRECT("Pianificazione!f1:f300"),MATCH($A9&amp;G$1,INDIRECT("Pianificazione!c1:c300")&amp;INDIRECT("Pianificazione!a1:a300"),0)),"hh:mm"),""))</f>
        <v>Riposo</v>
      </c>
      <c r="H9" s="14" t="str" cm="1">
        <f t="array" aca="1" ref="H9" ca="1">+IF(IFERROR(TEXT(INDEX(INDIRECT("Pianificazione!e1:e300"),MATCH($A9&amp;H$1,INDIRECT("Pianificazione!c1:c300")&amp;INDIRECT("Pianificazione!a1:a300"),0)),"hh:mm"),"")&amp;"-"&amp;IFERROR(TEXT(INDEX(INDIRECT("Pianificazione!f1:f300"),MATCH($A9&amp;H$1,INDIRECT("Pianificazione!c1:c300")&amp;INDIRECT("Pianificazione!a1:a300"),0)),"hh:mm"),"")="-","Riposo",IFERROR(TEXT(INDEX(INDIRECT("Pianificazione!e1:e300"),MATCH($A9&amp;H$1,INDIRECT("Pianificazione!c1:c300")&amp;INDIRECT("Pianificazione!a1:a300"),0)),"hh:mm"),"")&amp;"-"&amp;IFERROR(TEXT(INDEX(INDIRECT("Pianificazione!f1:f300"),MATCH($A9&amp;H$1,INDIRECT("Pianificazione!c1:c300")&amp;INDIRECT("Pianificazione!a1:a300"),0)),"hh:mm"),""))</f>
        <v>Riposo</v>
      </c>
      <c r="J9" s="3">
        <v>1</v>
      </c>
    </row>
    <row r="10" spans="1:19">
      <c r="A10" t="str">
        <f>+Risorse!B9</f>
        <v>Cannella Davide</v>
      </c>
      <c r="B10" s="14" t="str" cm="1">
        <f t="array" aca="1" ref="B10" ca="1">+IF(IFERROR(TEXT(INDEX(INDIRECT("Pianificazione!e1:e300"),MATCH($A10&amp;B$1,INDIRECT("Pianificazione!c1:c300")&amp;INDIRECT("Pianificazione!a1:a300"),0)),"hh:mm"),"")&amp;"-"&amp;IFERROR(TEXT(INDEX(INDIRECT("Pianificazione!f1:f300"),MATCH($A10&amp;B$1,INDIRECT("Pianificazione!c1:c300")&amp;INDIRECT("Pianificazione!a1:a300"),0)),"hh:mm"),"")="-","Riposo",IFERROR(TEXT(INDEX(INDIRECT("Pianificazione!e1:e300"),MATCH($A10&amp;B$1,INDIRECT("Pianificazione!c1:c300")&amp;INDIRECT("Pianificazione!a1:a300"),0)),"hh:mm"),"")&amp;"-"&amp;IFERROR(TEXT(INDEX(INDIRECT("Pianificazione!f1:f300"),MATCH($A10&amp;B$1,INDIRECT("Pianificazione!c1:c300")&amp;INDIRECT("Pianificazione!a1:a300"),0)),"hh:mm"),""))</f>
        <v>Riposo</v>
      </c>
      <c r="C10" s="14" t="str" cm="1">
        <f t="array" aca="1" ref="C10" ca="1">+IF(IFERROR(TEXT(INDEX(INDIRECT("Pianificazione!e1:e300"),MATCH($A10&amp;C$1,INDIRECT("Pianificazione!c1:c300")&amp;INDIRECT("Pianificazione!a1:a300"),0)),"hh:mm"),"")&amp;"-"&amp;IFERROR(TEXT(INDEX(INDIRECT("Pianificazione!f1:f300"),MATCH($A10&amp;C$1,INDIRECT("Pianificazione!c1:c300")&amp;INDIRECT("Pianificazione!a1:a300"),0)),"hh:mm"),"")="-","Riposo",IFERROR(TEXT(INDEX(INDIRECT("Pianificazione!e1:e300"),MATCH($A10&amp;C$1,INDIRECT("Pianificazione!c1:c300")&amp;INDIRECT("Pianificazione!a1:a300"),0)),"hh:mm"),"")&amp;"-"&amp;IFERROR(TEXT(INDEX(INDIRECT("Pianificazione!f1:f300"),MATCH($A10&amp;C$1,INDIRECT("Pianificazione!c1:c300")&amp;INDIRECT("Pianificazione!a1:a300"),0)),"hh:mm"),""))</f>
        <v>Riposo</v>
      </c>
      <c r="D10" s="14" t="str" cm="1">
        <f t="array" aca="1" ref="D10" ca="1">+IF(IFERROR(TEXT(INDEX(INDIRECT("Pianificazione!e1:e300"),MATCH($A10&amp;D$1,INDIRECT("Pianificazione!c1:c300")&amp;INDIRECT("Pianificazione!a1:a300"),0)),"hh:mm"),"")&amp;"-"&amp;IFERROR(TEXT(INDEX(INDIRECT("Pianificazione!f1:f300"),MATCH($A10&amp;D$1,INDIRECT("Pianificazione!c1:c300")&amp;INDIRECT("Pianificazione!a1:a300"),0)),"hh:mm"),"")="-","Riposo",IFERROR(TEXT(INDEX(INDIRECT("Pianificazione!e1:e300"),MATCH($A10&amp;D$1,INDIRECT("Pianificazione!c1:c300")&amp;INDIRECT("Pianificazione!a1:a300"),0)),"hh:mm"),"")&amp;"-"&amp;IFERROR(TEXT(INDEX(INDIRECT("Pianificazione!f1:f300"),MATCH($A10&amp;D$1,INDIRECT("Pianificazione!c1:c300")&amp;INDIRECT("Pianificazione!a1:a300"),0)),"hh:mm"),""))</f>
        <v>Riposo</v>
      </c>
      <c r="E10" s="14" t="str" cm="1">
        <f t="array" aca="1" ref="E10" ca="1">+IF(IFERROR(TEXT(INDEX(INDIRECT("Pianificazione!e1:e300"),MATCH($A10&amp;E$1,INDIRECT("Pianificazione!c1:c300")&amp;INDIRECT("Pianificazione!a1:a300"),0)),"hh:mm"),"")&amp;"-"&amp;IFERROR(TEXT(INDEX(INDIRECT("Pianificazione!f1:f300"),MATCH($A10&amp;E$1,INDIRECT("Pianificazione!c1:c300")&amp;INDIRECT("Pianificazione!a1:a300"),0)),"hh:mm"),"")="-","Riposo",IFERROR(TEXT(INDEX(INDIRECT("Pianificazione!e1:e300"),MATCH($A10&amp;E$1,INDIRECT("Pianificazione!c1:c300")&amp;INDIRECT("Pianificazione!a1:a300"),0)),"hh:mm"),"")&amp;"-"&amp;IFERROR(TEXT(INDEX(INDIRECT("Pianificazione!f1:f300"),MATCH($A10&amp;E$1,INDIRECT("Pianificazione!c1:c300")&amp;INDIRECT("Pianificazione!a1:a300"),0)),"hh:mm"),""))</f>
        <v>Riposo</v>
      </c>
      <c r="F10" s="14" t="str" cm="1">
        <f t="array" aca="1" ref="F10" ca="1">+IF(IFERROR(TEXT(INDEX(INDIRECT("Pianificazione!e1:e300"),MATCH($A10&amp;F$1,INDIRECT("Pianificazione!c1:c300")&amp;INDIRECT("Pianificazione!a1:a300"),0)),"hh:mm"),"")&amp;"-"&amp;IFERROR(TEXT(INDEX(INDIRECT("Pianificazione!f1:f300"),MATCH($A10&amp;F$1,INDIRECT("Pianificazione!c1:c300")&amp;INDIRECT("Pianificazione!a1:a300"),0)),"hh:mm"),"")="-","Riposo",IFERROR(TEXT(INDEX(INDIRECT("Pianificazione!e1:e300"),MATCH($A10&amp;F$1,INDIRECT("Pianificazione!c1:c300")&amp;INDIRECT("Pianificazione!a1:a300"),0)),"hh:mm"),"")&amp;"-"&amp;IFERROR(TEXT(INDEX(INDIRECT("Pianificazione!f1:f300"),MATCH($A10&amp;F$1,INDIRECT("Pianificazione!c1:c300")&amp;INDIRECT("Pianificazione!a1:a300"),0)),"hh:mm"),""))</f>
        <v>Riposo</v>
      </c>
      <c r="G10" s="14" t="str" cm="1">
        <f t="array" aca="1" ref="G10" ca="1">+IF(IFERROR(TEXT(INDEX(INDIRECT("Pianificazione!e1:e300"),MATCH($A10&amp;G$1,INDIRECT("Pianificazione!c1:c300")&amp;INDIRECT("Pianificazione!a1:a300"),0)),"hh:mm"),"")&amp;"-"&amp;IFERROR(TEXT(INDEX(INDIRECT("Pianificazione!f1:f300"),MATCH($A10&amp;G$1,INDIRECT("Pianificazione!c1:c300")&amp;INDIRECT("Pianificazione!a1:a300"),0)),"hh:mm"),"")="-","Riposo",IFERROR(TEXT(INDEX(INDIRECT("Pianificazione!e1:e300"),MATCH($A10&amp;G$1,INDIRECT("Pianificazione!c1:c300")&amp;INDIRECT("Pianificazione!a1:a300"),0)),"hh:mm"),"")&amp;"-"&amp;IFERROR(TEXT(INDEX(INDIRECT("Pianificazione!f1:f300"),MATCH($A10&amp;G$1,INDIRECT("Pianificazione!c1:c300")&amp;INDIRECT("Pianificazione!a1:a300"),0)),"hh:mm"),""))</f>
        <v>Riposo</v>
      </c>
      <c r="H10" s="14" t="str" cm="1">
        <f t="array" aca="1" ref="H10" ca="1">+IF(IFERROR(TEXT(INDEX(INDIRECT("Pianificazione!e1:e300"),MATCH($A10&amp;H$1,INDIRECT("Pianificazione!c1:c300")&amp;INDIRECT("Pianificazione!a1:a300"),0)),"hh:mm"),"")&amp;"-"&amp;IFERROR(TEXT(INDEX(INDIRECT("Pianificazione!f1:f300"),MATCH($A10&amp;H$1,INDIRECT("Pianificazione!c1:c300")&amp;INDIRECT("Pianificazione!a1:a300"),0)),"hh:mm"),"")="-","Riposo",IFERROR(TEXT(INDEX(INDIRECT("Pianificazione!e1:e300"),MATCH($A10&amp;H$1,INDIRECT("Pianificazione!c1:c300")&amp;INDIRECT("Pianificazione!a1:a300"),0)),"hh:mm"),"")&amp;"-"&amp;IFERROR(TEXT(INDEX(INDIRECT("Pianificazione!f1:f300"),MATCH($A10&amp;H$1,INDIRECT("Pianificazione!c1:c300")&amp;INDIRECT("Pianificazione!a1:a300"),0)),"hh:mm"),""))</f>
        <v>Riposo</v>
      </c>
      <c r="J10" s="3">
        <v>1</v>
      </c>
    </row>
    <row r="11" spans="1:19">
      <c r="A11" t="str">
        <f>+Risorse!B10</f>
        <v>Cipolla Giuseppe</v>
      </c>
      <c r="B11" s="14" t="str" cm="1">
        <f t="array" aca="1" ref="B11" ca="1">+IF(IFERROR(TEXT(INDEX(INDIRECT("Pianificazione!e1:e300"),MATCH($A11&amp;B$1,INDIRECT("Pianificazione!c1:c300")&amp;INDIRECT("Pianificazione!a1:a300"),0)),"hh:mm"),"")&amp;"-"&amp;IFERROR(TEXT(INDEX(INDIRECT("Pianificazione!f1:f300"),MATCH($A11&amp;B$1,INDIRECT("Pianificazione!c1:c300")&amp;INDIRECT("Pianificazione!a1:a300"),0)),"hh:mm"),"")="-","Riposo",IFERROR(TEXT(INDEX(INDIRECT("Pianificazione!e1:e300"),MATCH($A11&amp;B$1,INDIRECT("Pianificazione!c1:c300")&amp;INDIRECT("Pianificazione!a1:a300"),0)),"hh:mm"),"")&amp;"-"&amp;IFERROR(TEXT(INDEX(INDIRECT("Pianificazione!f1:f300"),MATCH($A11&amp;B$1,INDIRECT("Pianificazione!c1:c300")&amp;INDIRECT("Pianificazione!a1:a300"),0)),"hh:mm"),""))</f>
        <v>Riposo</v>
      </c>
      <c r="C11" s="14" t="str" cm="1">
        <f t="array" aca="1" ref="C11" ca="1">+IF(IFERROR(TEXT(INDEX(INDIRECT("Pianificazione!e1:e300"),MATCH($A11&amp;C$1,INDIRECT("Pianificazione!c1:c300")&amp;INDIRECT("Pianificazione!a1:a300"),0)),"hh:mm"),"")&amp;"-"&amp;IFERROR(TEXT(INDEX(INDIRECT("Pianificazione!f1:f300"),MATCH($A11&amp;C$1,INDIRECT("Pianificazione!c1:c300")&amp;INDIRECT("Pianificazione!a1:a300"),0)),"hh:mm"),"")="-","Riposo",IFERROR(TEXT(INDEX(INDIRECT("Pianificazione!e1:e300"),MATCH($A11&amp;C$1,INDIRECT("Pianificazione!c1:c300")&amp;INDIRECT("Pianificazione!a1:a300"),0)),"hh:mm"),"")&amp;"-"&amp;IFERROR(TEXT(INDEX(INDIRECT("Pianificazione!f1:f300"),MATCH($A11&amp;C$1,INDIRECT("Pianificazione!c1:c300")&amp;INDIRECT("Pianificazione!a1:a300"),0)),"hh:mm"),""))</f>
        <v>Riposo</v>
      </c>
      <c r="D11" s="14" t="str" cm="1">
        <f t="array" aca="1" ref="D11" ca="1">+IF(IFERROR(TEXT(INDEX(INDIRECT("Pianificazione!e1:e300"),MATCH($A11&amp;D$1,INDIRECT("Pianificazione!c1:c300")&amp;INDIRECT("Pianificazione!a1:a300"),0)),"hh:mm"),"")&amp;"-"&amp;IFERROR(TEXT(INDEX(INDIRECT("Pianificazione!f1:f300"),MATCH($A11&amp;D$1,INDIRECT("Pianificazione!c1:c300")&amp;INDIRECT("Pianificazione!a1:a300"),0)),"hh:mm"),"")="-","Riposo",IFERROR(TEXT(INDEX(INDIRECT("Pianificazione!e1:e300"),MATCH($A11&amp;D$1,INDIRECT("Pianificazione!c1:c300")&amp;INDIRECT("Pianificazione!a1:a300"),0)),"hh:mm"),"")&amp;"-"&amp;IFERROR(TEXT(INDEX(INDIRECT("Pianificazione!f1:f300"),MATCH($A11&amp;D$1,INDIRECT("Pianificazione!c1:c300")&amp;INDIRECT("Pianificazione!a1:a300"),0)),"hh:mm"),""))</f>
        <v>Riposo</v>
      </c>
      <c r="E11" s="14" t="str" cm="1">
        <f t="array" aca="1" ref="E11" ca="1">+IF(IFERROR(TEXT(INDEX(INDIRECT("Pianificazione!e1:e300"),MATCH($A11&amp;E$1,INDIRECT("Pianificazione!c1:c300")&amp;INDIRECT("Pianificazione!a1:a300"),0)),"hh:mm"),"")&amp;"-"&amp;IFERROR(TEXT(INDEX(INDIRECT("Pianificazione!f1:f300"),MATCH($A11&amp;E$1,INDIRECT("Pianificazione!c1:c300")&amp;INDIRECT("Pianificazione!a1:a300"),0)),"hh:mm"),"")="-","Riposo",IFERROR(TEXT(INDEX(INDIRECT("Pianificazione!e1:e300"),MATCH($A11&amp;E$1,INDIRECT("Pianificazione!c1:c300")&amp;INDIRECT("Pianificazione!a1:a300"),0)),"hh:mm"),"")&amp;"-"&amp;IFERROR(TEXT(INDEX(INDIRECT("Pianificazione!f1:f300"),MATCH($A11&amp;E$1,INDIRECT("Pianificazione!c1:c300")&amp;INDIRECT("Pianificazione!a1:a300"),0)),"hh:mm"),""))</f>
        <v>Riposo</v>
      </c>
      <c r="F11" s="14" t="str" cm="1">
        <f t="array" aca="1" ref="F11" ca="1">+IF(IFERROR(TEXT(INDEX(INDIRECT("Pianificazione!e1:e300"),MATCH($A11&amp;F$1,INDIRECT("Pianificazione!c1:c300")&amp;INDIRECT("Pianificazione!a1:a300"),0)),"hh:mm"),"")&amp;"-"&amp;IFERROR(TEXT(INDEX(INDIRECT("Pianificazione!f1:f300"),MATCH($A11&amp;F$1,INDIRECT("Pianificazione!c1:c300")&amp;INDIRECT("Pianificazione!a1:a300"),0)),"hh:mm"),"")="-","Riposo",IFERROR(TEXT(INDEX(INDIRECT("Pianificazione!e1:e300"),MATCH($A11&amp;F$1,INDIRECT("Pianificazione!c1:c300")&amp;INDIRECT("Pianificazione!a1:a300"),0)),"hh:mm"),"")&amp;"-"&amp;IFERROR(TEXT(INDEX(INDIRECT("Pianificazione!f1:f300"),MATCH($A11&amp;F$1,INDIRECT("Pianificazione!c1:c300")&amp;INDIRECT("Pianificazione!a1:a300"),0)),"hh:mm"),""))</f>
        <v>Riposo</v>
      </c>
      <c r="G11" s="14" t="str" cm="1">
        <f t="array" aca="1" ref="G11" ca="1">+IF(IFERROR(TEXT(INDEX(INDIRECT("Pianificazione!e1:e300"),MATCH($A11&amp;G$1,INDIRECT("Pianificazione!c1:c300")&amp;INDIRECT("Pianificazione!a1:a300"),0)),"hh:mm"),"")&amp;"-"&amp;IFERROR(TEXT(INDEX(INDIRECT("Pianificazione!f1:f300"),MATCH($A11&amp;G$1,INDIRECT("Pianificazione!c1:c300")&amp;INDIRECT("Pianificazione!a1:a300"),0)),"hh:mm"),"")="-","Riposo",IFERROR(TEXT(INDEX(INDIRECT("Pianificazione!e1:e300"),MATCH($A11&amp;G$1,INDIRECT("Pianificazione!c1:c300")&amp;INDIRECT("Pianificazione!a1:a300"),0)),"hh:mm"),"")&amp;"-"&amp;IFERROR(TEXT(INDEX(INDIRECT("Pianificazione!f1:f300"),MATCH($A11&amp;G$1,INDIRECT("Pianificazione!c1:c300")&amp;INDIRECT("Pianificazione!a1:a300"),0)),"hh:mm"),""))</f>
        <v>Riposo</v>
      </c>
      <c r="H11" s="14" t="str" cm="1">
        <f t="array" aca="1" ref="H11" ca="1">+IF(IFERROR(TEXT(INDEX(INDIRECT("Pianificazione!e1:e300"),MATCH($A11&amp;H$1,INDIRECT("Pianificazione!c1:c300")&amp;INDIRECT("Pianificazione!a1:a300"),0)),"hh:mm"),"")&amp;"-"&amp;IFERROR(TEXT(INDEX(INDIRECT("Pianificazione!f1:f300"),MATCH($A11&amp;H$1,INDIRECT("Pianificazione!c1:c300")&amp;INDIRECT("Pianificazione!a1:a300"),0)),"hh:mm"),"")="-","Riposo",IFERROR(TEXT(INDEX(INDIRECT("Pianificazione!e1:e300"),MATCH($A11&amp;H$1,INDIRECT("Pianificazione!c1:c300")&amp;INDIRECT("Pianificazione!a1:a300"),0)),"hh:mm"),"")&amp;"-"&amp;IFERROR(TEXT(INDEX(INDIRECT("Pianificazione!f1:f300"),MATCH($A11&amp;H$1,INDIRECT("Pianificazione!c1:c300")&amp;INDIRECT("Pianificazione!a1:a300"),0)),"hh:mm"),""))</f>
        <v>Riposo</v>
      </c>
      <c r="J11" s="3">
        <v>1</v>
      </c>
    </row>
    <row r="12" spans="1:19">
      <c r="A12" t="e">
        <f>+Risorse!#REF!</f>
        <v>#REF!</v>
      </c>
      <c r="B12" s="14" t="str" cm="1">
        <f t="array" aca="1" ref="B12" ca="1">+IF(IFERROR(TEXT(INDEX(INDIRECT("Pianificazione!e1:e300"),MATCH($A12&amp;B$1,INDIRECT("Pianificazione!c1:c300")&amp;INDIRECT("Pianificazione!a1:a300"),0)),"hh:mm"),"")&amp;"-"&amp;IFERROR(TEXT(INDEX(INDIRECT("Pianificazione!f1:f300"),MATCH($A12&amp;B$1,INDIRECT("Pianificazione!c1:c300")&amp;INDIRECT("Pianificazione!a1:a300"),0)),"hh:mm"),"")="-","Riposo",IFERROR(TEXT(INDEX(INDIRECT("Pianificazione!e1:e300"),MATCH($A12&amp;B$1,INDIRECT("Pianificazione!c1:c300")&amp;INDIRECT("Pianificazione!a1:a300"),0)),"hh:mm"),"")&amp;"-"&amp;IFERROR(TEXT(INDEX(INDIRECT("Pianificazione!f1:f300"),MATCH($A12&amp;B$1,INDIRECT("Pianificazione!c1:c300")&amp;INDIRECT("Pianificazione!a1:a300"),0)),"hh:mm"),""))</f>
        <v>Riposo</v>
      </c>
      <c r="C12" s="14" t="str" cm="1">
        <f t="array" aca="1" ref="C12" ca="1">+IF(IFERROR(TEXT(INDEX(INDIRECT("Pianificazione!e1:e300"),MATCH($A12&amp;C$1,INDIRECT("Pianificazione!c1:c300")&amp;INDIRECT("Pianificazione!a1:a300"),0)),"hh:mm"),"")&amp;"-"&amp;IFERROR(TEXT(INDEX(INDIRECT("Pianificazione!f1:f300"),MATCH($A12&amp;C$1,INDIRECT("Pianificazione!c1:c300")&amp;INDIRECT("Pianificazione!a1:a300"),0)),"hh:mm"),"")="-","Riposo",IFERROR(TEXT(INDEX(INDIRECT("Pianificazione!e1:e300"),MATCH($A12&amp;C$1,INDIRECT("Pianificazione!c1:c300")&amp;INDIRECT("Pianificazione!a1:a300"),0)),"hh:mm"),"")&amp;"-"&amp;IFERROR(TEXT(INDEX(INDIRECT("Pianificazione!f1:f300"),MATCH($A12&amp;C$1,INDIRECT("Pianificazione!c1:c300")&amp;INDIRECT("Pianificazione!a1:a300"),0)),"hh:mm"),""))</f>
        <v>Riposo</v>
      </c>
      <c r="D12" s="14" t="str" cm="1">
        <f t="array" aca="1" ref="D12" ca="1">+IF(IFERROR(TEXT(INDEX(INDIRECT("Pianificazione!e1:e300"),MATCH($A12&amp;D$1,INDIRECT("Pianificazione!c1:c300")&amp;INDIRECT("Pianificazione!a1:a300"),0)),"hh:mm"),"")&amp;"-"&amp;IFERROR(TEXT(INDEX(INDIRECT("Pianificazione!f1:f300"),MATCH($A12&amp;D$1,INDIRECT("Pianificazione!c1:c300")&amp;INDIRECT("Pianificazione!a1:a300"),0)),"hh:mm"),"")="-","Riposo",IFERROR(TEXT(INDEX(INDIRECT("Pianificazione!e1:e300"),MATCH($A12&amp;D$1,INDIRECT("Pianificazione!c1:c300")&amp;INDIRECT("Pianificazione!a1:a300"),0)),"hh:mm"),"")&amp;"-"&amp;IFERROR(TEXT(INDEX(INDIRECT("Pianificazione!f1:f300"),MATCH($A12&amp;D$1,INDIRECT("Pianificazione!c1:c300")&amp;INDIRECT("Pianificazione!a1:a300"),0)),"hh:mm"),""))</f>
        <v>Riposo</v>
      </c>
      <c r="E12" s="14" t="str" cm="1">
        <f t="array" aca="1" ref="E12" ca="1">+IF(IFERROR(TEXT(INDEX(INDIRECT("Pianificazione!e1:e300"),MATCH($A12&amp;E$1,INDIRECT("Pianificazione!c1:c300")&amp;INDIRECT("Pianificazione!a1:a300"),0)),"hh:mm"),"")&amp;"-"&amp;IFERROR(TEXT(INDEX(INDIRECT("Pianificazione!f1:f300"),MATCH($A12&amp;E$1,INDIRECT("Pianificazione!c1:c300")&amp;INDIRECT("Pianificazione!a1:a300"),0)),"hh:mm"),"")="-","Riposo",IFERROR(TEXT(INDEX(INDIRECT("Pianificazione!e1:e300"),MATCH($A12&amp;E$1,INDIRECT("Pianificazione!c1:c300")&amp;INDIRECT("Pianificazione!a1:a300"),0)),"hh:mm"),"")&amp;"-"&amp;IFERROR(TEXT(INDEX(INDIRECT("Pianificazione!f1:f300"),MATCH($A12&amp;E$1,INDIRECT("Pianificazione!c1:c300")&amp;INDIRECT("Pianificazione!a1:a300"),0)),"hh:mm"),""))</f>
        <v>Riposo</v>
      </c>
      <c r="F12" s="14" t="str" cm="1">
        <f t="array" aca="1" ref="F12" ca="1">+IF(IFERROR(TEXT(INDEX(INDIRECT("Pianificazione!e1:e300"),MATCH($A12&amp;F$1,INDIRECT("Pianificazione!c1:c300")&amp;INDIRECT("Pianificazione!a1:a300"),0)),"hh:mm"),"")&amp;"-"&amp;IFERROR(TEXT(INDEX(INDIRECT("Pianificazione!f1:f300"),MATCH($A12&amp;F$1,INDIRECT("Pianificazione!c1:c300")&amp;INDIRECT("Pianificazione!a1:a300"),0)),"hh:mm"),"")="-","Riposo",IFERROR(TEXT(INDEX(INDIRECT("Pianificazione!e1:e300"),MATCH($A12&amp;F$1,INDIRECT("Pianificazione!c1:c300")&amp;INDIRECT("Pianificazione!a1:a300"),0)),"hh:mm"),"")&amp;"-"&amp;IFERROR(TEXT(INDEX(INDIRECT("Pianificazione!f1:f300"),MATCH($A12&amp;F$1,INDIRECT("Pianificazione!c1:c300")&amp;INDIRECT("Pianificazione!a1:a300"),0)),"hh:mm"),""))</f>
        <v>Riposo</v>
      </c>
      <c r="G12" s="14" t="str" cm="1">
        <f t="array" aca="1" ref="G12" ca="1">+IF(IFERROR(TEXT(INDEX(INDIRECT("Pianificazione!e1:e300"),MATCH($A12&amp;G$1,INDIRECT("Pianificazione!c1:c300")&amp;INDIRECT("Pianificazione!a1:a300"),0)),"hh:mm"),"")&amp;"-"&amp;IFERROR(TEXT(INDEX(INDIRECT("Pianificazione!f1:f300"),MATCH($A12&amp;G$1,INDIRECT("Pianificazione!c1:c300")&amp;INDIRECT("Pianificazione!a1:a300"),0)),"hh:mm"),"")="-","Riposo",IFERROR(TEXT(INDEX(INDIRECT("Pianificazione!e1:e300"),MATCH($A12&amp;G$1,INDIRECT("Pianificazione!c1:c300")&amp;INDIRECT("Pianificazione!a1:a300"),0)),"hh:mm"),"")&amp;"-"&amp;IFERROR(TEXT(INDEX(INDIRECT("Pianificazione!f1:f300"),MATCH($A12&amp;G$1,INDIRECT("Pianificazione!c1:c300")&amp;INDIRECT("Pianificazione!a1:a300"),0)),"hh:mm"),""))</f>
        <v>Riposo</v>
      </c>
      <c r="H12" s="14" t="str" cm="1">
        <f t="array" aca="1" ref="H12" ca="1">+IF(IFERROR(TEXT(INDEX(INDIRECT("Pianificazione!e1:e300"),MATCH($A12&amp;H$1,INDIRECT("Pianificazione!c1:c300")&amp;INDIRECT("Pianificazione!a1:a300"),0)),"hh:mm"),"")&amp;"-"&amp;IFERROR(TEXT(INDEX(INDIRECT("Pianificazione!f1:f300"),MATCH($A12&amp;H$1,INDIRECT("Pianificazione!c1:c300")&amp;INDIRECT("Pianificazione!a1:a300"),0)),"hh:mm"),"")="-","Riposo",IFERROR(TEXT(INDEX(INDIRECT("Pianificazione!e1:e300"),MATCH($A12&amp;H$1,INDIRECT("Pianificazione!c1:c300")&amp;INDIRECT("Pianificazione!a1:a300"),0)),"hh:mm"),"")&amp;"-"&amp;IFERROR(TEXT(INDEX(INDIRECT("Pianificazione!f1:f300"),MATCH($A12&amp;H$1,INDIRECT("Pianificazione!c1:c300")&amp;INDIRECT("Pianificazione!a1:a300"),0)),"hh:mm"),""))</f>
        <v>Riposo</v>
      </c>
      <c r="J12" s="3">
        <v>1</v>
      </c>
    </row>
    <row r="13" spans="1:19">
      <c r="A13" t="e">
        <f>+Risorse!#REF!</f>
        <v>#REF!</v>
      </c>
      <c r="B13" s="14" t="str" cm="1">
        <f t="array" aca="1" ref="B13" ca="1">+IF(IFERROR(TEXT(INDEX(INDIRECT("Pianificazione!e1:e300"),MATCH($A13&amp;B$1,INDIRECT("Pianificazione!c1:c300")&amp;INDIRECT("Pianificazione!a1:a300"),0)),"hh:mm"),"")&amp;"-"&amp;IFERROR(TEXT(INDEX(INDIRECT("Pianificazione!f1:f300"),MATCH($A13&amp;B$1,INDIRECT("Pianificazione!c1:c300")&amp;INDIRECT("Pianificazione!a1:a300"),0)),"hh:mm"),"")="-","Riposo",IFERROR(TEXT(INDEX(INDIRECT("Pianificazione!e1:e300"),MATCH($A13&amp;B$1,INDIRECT("Pianificazione!c1:c300")&amp;INDIRECT("Pianificazione!a1:a300"),0)),"hh:mm"),"")&amp;"-"&amp;IFERROR(TEXT(INDEX(INDIRECT("Pianificazione!f1:f300"),MATCH($A13&amp;B$1,INDIRECT("Pianificazione!c1:c300")&amp;INDIRECT("Pianificazione!a1:a300"),0)),"hh:mm"),""))</f>
        <v>Riposo</v>
      </c>
      <c r="C13" s="14" t="str" cm="1">
        <f t="array" aca="1" ref="C13" ca="1">+IF(IFERROR(TEXT(INDEX(INDIRECT("Pianificazione!e1:e300"),MATCH($A13&amp;C$1,INDIRECT("Pianificazione!c1:c300")&amp;INDIRECT("Pianificazione!a1:a300"),0)),"hh:mm"),"")&amp;"-"&amp;IFERROR(TEXT(INDEX(INDIRECT("Pianificazione!f1:f300"),MATCH($A13&amp;C$1,INDIRECT("Pianificazione!c1:c300")&amp;INDIRECT("Pianificazione!a1:a300"),0)),"hh:mm"),"")="-","Riposo",IFERROR(TEXT(INDEX(INDIRECT("Pianificazione!e1:e300"),MATCH($A13&amp;C$1,INDIRECT("Pianificazione!c1:c300")&amp;INDIRECT("Pianificazione!a1:a300"),0)),"hh:mm"),"")&amp;"-"&amp;IFERROR(TEXT(INDEX(INDIRECT("Pianificazione!f1:f300"),MATCH($A13&amp;C$1,INDIRECT("Pianificazione!c1:c300")&amp;INDIRECT("Pianificazione!a1:a300"),0)),"hh:mm"),""))</f>
        <v>Riposo</v>
      </c>
      <c r="D13" s="14" t="str" cm="1">
        <f t="array" aca="1" ref="D13" ca="1">+IF(IFERROR(TEXT(INDEX(INDIRECT("Pianificazione!e1:e300"),MATCH($A13&amp;D$1,INDIRECT("Pianificazione!c1:c300")&amp;INDIRECT("Pianificazione!a1:a300"),0)),"hh:mm"),"")&amp;"-"&amp;IFERROR(TEXT(INDEX(INDIRECT("Pianificazione!f1:f300"),MATCH($A13&amp;D$1,INDIRECT("Pianificazione!c1:c300")&amp;INDIRECT("Pianificazione!a1:a300"),0)),"hh:mm"),"")="-","Riposo",IFERROR(TEXT(INDEX(INDIRECT("Pianificazione!e1:e300"),MATCH($A13&amp;D$1,INDIRECT("Pianificazione!c1:c300")&amp;INDIRECT("Pianificazione!a1:a300"),0)),"hh:mm"),"")&amp;"-"&amp;IFERROR(TEXT(INDEX(INDIRECT("Pianificazione!f1:f300"),MATCH($A13&amp;D$1,INDIRECT("Pianificazione!c1:c300")&amp;INDIRECT("Pianificazione!a1:a300"),0)),"hh:mm"),""))</f>
        <v>Riposo</v>
      </c>
      <c r="E13" s="14" t="str" cm="1">
        <f t="array" aca="1" ref="E13" ca="1">+IF(IFERROR(TEXT(INDEX(INDIRECT("Pianificazione!e1:e300"),MATCH($A13&amp;E$1,INDIRECT("Pianificazione!c1:c300")&amp;INDIRECT("Pianificazione!a1:a300"),0)),"hh:mm"),"")&amp;"-"&amp;IFERROR(TEXT(INDEX(INDIRECT("Pianificazione!f1:f300"),MATCH($A13&amp;E$1,INDIRECT("Pianificazione!c1:c300")&amp;INDIRECT("Pianificazione!a1:a300"),0)),"hh:mm"),"")="-","Riposo",IFERROR(TEXT(INDEX(INDIRECT("Pianificazione!e1:e300"),MATCH($A13&amp;E$1,INDIRECT("Pianificazione!c1:c300")&amp;INDIRECT("Pianificazione!a1:a300"),0)),"hh:mm"),"")&amp;"-"&amp;IFERROR(TEXT(INDEX(INDIRECT("Pianificazione!f1:f300"),MATCH($A13&amp;E$1,INDIRECT("Pianificazione!c1:c300")&amp;INDIRECT("Pianificazione!a1:a300"),0)),"hh:mm"),""))</f>
        <v>Riposo</v>
      </c>
      <c r="F13" s="14" t="str" cm="1">
        <f t="array" aca="1" ref="F13" ca="1">+IF(IFERROR(TEXT(INDEX(INDIRECT("Pianificazione!e1:e300"),MATCH($A13&amp;F$1,INDIRECT("Pianificazione!c1:c300")&amp;INDIRECT("Pianificazione!a1:a300"),0)),"hh:mm"),"")&amp;"-"&amp;IFERROR(TEXT(INDEX(INDIRECT("Pianificazione!f1:f300"),MATCH($A13&amp;F$1,INDIRECT("Pianificazione!c1:c300")&amp;INDIRECT("Pianificazione!a1:a300"),0)),"hh:mm"),"")="-","Riposo",IFERROR(TEXT(INDEX(INDIRECT("Pianificazione!e1:e300"),MATCH($A13&amp;F$1,INDIRECT("Pianificazione!c1:c300")&amp;INDIRECT("Pianificazione!a1:a300"),0)),"hh:mm"),"")&amp;"-"&amp;IFERROR(TEXT(INDEX(INDIRECT("Pianificazione!f1:f300"),MATCH($A13&amp;F$1,INDIRECT("Pianificazione!c1:c300")&amp;INDIRECT("Pianificazione!a1:a300"),0)),"hh:mm"),""))</f>
        <v>Riposo</v>
      </c>
      <c r="G13" s="14" t="str" cm="1">
        <f t="array" aca="1" ref="G13" ca="1">+IF(IFERROR(TEXT(INDEX(INDIRECT("Pianificazione!e1:e300"),MATCH($A13&amp;G$1,INDIRECT("Pianificazione!c1:c300")&amp;INDIRECT("Pianificazione!a1:a300"),0)),"hh:mm"),"")&amp;"-"&amp;IFERROR(TEXT(INDEX(INDIRECT("Pianificazione!f1:f300"),MATCH($A13&amp;G$1,INDIRECT("Pianificazione!c1:c300")&amp;INDIRECT("Pianificazione!a1:a300"),0)),"hh:mm"),"")="-","Riposo",IFERROR(TEXT(INDEX(INDIRECT("Pianificazione!e1:e300"),MATCH($A13&amp;G$1,INDIRECT("Pianificazione!c1:c300")&amp;INDIRECT("Pianificazione!a1:a300"),0)),"hh:mm"),"")&amp;"-"&amp;IFERROR(TEXT(INDEX(INDIRECT("Pianificazione!f1:f300"),MATCH($A13&amp;G$1,INDIRECT("Pianificazione!c1:c300")&amp;INDIRECT("Pianificazione!a1:a300"),0)),"hh:mm"),""))</f>
        <v>Riposo</v>
      </c>
      <c r="H13" s="14" t="str" cm="1">
        <f t="array" aca="1" ref="H13" ca="1">+IF(IFERROR(TEXT(INDEX(INDIRECT("Pianificazione!e1:e300"),MATCH($A13&amp;H$1,INDIRECT("Pianificazione!c1:c300")&amp;INDIRECT("Pianificazione!a1:a300"),0)),"hh:mm"),"")&amp;"-"&amp;IFERROR(TEXT(INDEX(INDIRECT("Pianificazione!f1:f300"),MATCH($A13&amp;H$1,INDIRECT("Pianificazione!c1:c300")&amp;INDIRECT("Pianificazione!a1:a300"),0)),"hh:mm"),"")="-","Riposo",IFERROR(TEXT(INDEX(INDIRECT("Pianificazione!e1:e300"),MATCH($A13&amp;H$1,INDIRECT("Pianificazione!c1:c300")&amp;INDIRECT("Pianificazione!a1:a300"),0)),"hh:mm"),"")&amp;"-"&amp;IFERROR(TEXT(INDEX(INDIRECT("Pianificazione!f1:f300"),MATCH($A13&amp;H$1,INDIRECT("Pianificazione!c1:c300")&amp;INDIRECT("Pianificazione!a1:a300"),0)),"hh:mm"),""))</f>
        <v>Riposo</v>
      </c>
      <c r="J13" s="3">
        <v>1</v>
      </c>
    </row>
    <row r="14" spans="1:19">
      <c r="A14" t="str">
        <f>+Risorse!B11</f>
        <v>Consentino Dario</v>
      </c>
      <c r="B14" s="14" t="str" cm="1">
        <f t="array" aca="1" ref="B14" ca="1">+IF(IFERROR(TEXT(INDEX(INDIRECT("Pianificazione!e1:e300"),MATCH($A14&amp;B$1,INDIRECT("Pianificazione!c1:c300")&amp;INDIRECT("Pianificazione!a1:a300"),0)),"hh:mm"),"")&amp;"-"&amp;IFERROR(TEXT(INDEX(INDIRECT("Pianificazione!f1:f300"),MATCH($A14&amp;B$1,INDIRECT("Pianificazione!c1:c300")&amp;INDIRECT("Pianificazione!a1:a300"),0)),"hh:mm"),"")="-","Riposo",IFERROR(TEXT(INDEX(INDIRECT("Pianificazione!e1:e300"),MATCH($A14&amp;B$1,INDIRECT("Pianificazione!c1:c300")&amp;INDIRECT("Pianificazione!a1:a300"),0)),"hh:mm"),"")&amp;"-"&amp;IFERROR(TEXT(INDEX(INDIRECT("Pianificazione!f1:f300"),MATCH($A14&amp;B$1,INDIRECT("Pianificazione!c1:c300")&amp;INDIRECT("Pianificazione!a1:a300"),0)),"hh:mm"),""))</f>
        <v>Riposo</v>
      </c>
      <c r="C14" s="14" t="str" cm="1">
        <f t="array" aca="1" ref="C14" ca="1">+IF(IFERROR(TEXT(INDEX(INDIRECT("Pianificazione!e1:e300"),MATCH($A14&amp;C$1,INDIRECT("Pianificazione!c1:c300")&amp;INDIRECT("Pianificazione!a1:a300"),0)),"hh:mm"),"")&amp;"-"&amp;IFERROR(TEXT(INDEX(INDIRECT("Pianificazione!f1:f300"),MATCH($A14&amp;C$1,INDIRECT("Pianificazione!c1:c300")&amp;INDIRECT("Pianificazione!a1:a300"),0)),"hh:mm"),"")="-","Riposo",IFERROR(TEXT(INDEX(INDIRECT("Pianificazione!e1:e300"),MATCH($A14&amp;C$1,INDIRECT("Pianificazione!c1:c300")&amp;INDIRECT("Pianificazione!a1:a300"),0)),"hh:mm"),"")&amp;"-"&amp;IFERROR(TEXT(INDEX(INDIRECT("Pianificazione!f1:f300"),MATCH($A14&amp;C$1,INDIRECT("Pianificazione!c1:c300")&amp;INDIRECT("Pianificazione!a1:a300"),0)),"hh:mm"),""))</f>
        <v>Riposo</v>
      </c>
      <c r="D14" s="14" t="str" cm="1">
        <f t="array" aca="1" ref="D14" ca="1">+IF(IFERROR(TEXT(INDEX(INDIRECT("Pianificazione!e1:e300"),MATCH($A14&amp;D$1,INDIRECT("Pianificazione!c1:c300")&amp;INDIRECT("Pianificazione!a1:a300"),0)),"hh:mm"),"")&amp;"-"&amp;IFERROR(TEXT(INDEX(INDIRECT("Pianificazione!f1:f300"),MATCH($A14&amp;D$1,INDIRECT("Pianificazione!c1:c300")&amp;INDIRECT("Pianificazione!a1:a300"),0)),"hh:mm"),"")="-","Riposo",IFERROR(TEXT(INDEX(INDIRECT("Pianificazione!e1:e300"),MATCH($A14&amp;D$1,INDIRECT("Pianificazione!c1:c300")&amp;INDIRECT("Pianificazione!a1:a300"),0)),"hh:mm"),"")&amp;"-"&amp;IFERROR(TEXT(INDEX(INDIRECT("Pianificazione!f1:f300"),MATCH($A14&amp;D$1,INDIRECT("Pianificazione!c1:c300")&amp;INDIRECT("Pianificazione!a1:a300"),0)),"hh:mm"),""))</f>
        <v>Riposo</v>
      </c>
      <c r="E14" s="14" t="str" cm="1">
        <f t="array" aca="1" ref="E14" ca="1">+IF(IFERROR(TEXT(INDEX(INDIRECT("Pianificazione!e1:e300"),MATCH($A14&amp;E$1,INDIRECT("Pianificazione!c1:c300")&amp;INDIRECT("Pianificazione!a1:a300"),0)),"hh:mm"),"")&amp;"-"&amp;IFERROR(TEXT(INDEX(INDIRECT("Pianificazione!f1:f300"),MATCH($A14&amp;E$1,INDIRECT("Pianificazione!c1:c300")&amp;INDIRECT("Pianificazione!a1:a300"),0)),"hh:mm"),"")="-","Riposo",IFERROR(TEXT(INDEX(INDIRECT("Pianificazione!e1:e300"),MATCH($A14&amp;E$1,INDIRECT("Pianificazione!c1:c300")&amp;INDIRECT("Pianificazione!a1:a300"),0)),"hh:mm"),"")&amp;"-"&amp;IFERROR(TEXT(INDEX(INDIRECT("Pianificazione!f1:f300"),MATCH($A14&amp;E$1,INDIRECT("Pianificazione!c1:c300")&amp;INDIRECT("Pianificazione!a1:a300"),0)),"hh:mm"),""))</f>
        <v>Riposo</v>
      </c>
      <c r="F14" s="14" t="str" cm="1">
        <f t="array" aca="1" ref="F14" ca="1">+IF(IFERROR(TEXT(INDEX(INDIRECT("Pianificazione!e1:e300"),MATCH($A14&amp;F$1,INDIRECT("Pianificazione!c1:c300")&amp;INDIRECT("Pianificazione!a1:a300"),0)),"hh:mm"),"")&amp;"-"&amp;IFERROR(TEXT(INDEX(INDIRECT("Pianificazione!f1:f300"),MATCH($A14&amp;F$1,INDIRECT("Pianificazione!c1:c300")&amp;INDIRECT("Pianificazione!a1:a300"),0)),"hh:mm"),"")="-","Riposo",IFERROR(TEXT(INDEX(INDIRECT("Pianificazione!e1:e300"),MATCH($A14&amp;F$1,INDIRECT("Pianificazione!c1:c300")&amp;INDIRECT("Pianificazione!a1:a300"),0)),"hh:mm"),"")&amp;"-"&amp;IFERROR(TEXT(INDEX(INDIRECT("Pianificazione!f1:f300"),MATCH($A14&amp;F$1,INDIRECT("Pianificazione!c1:c300")&amp;INDIRECT("Pianificazione!a1:a300"),0)),"hh:mm"),""))</f>
        <v>Riposo</v>
      </c>
      <c r="G14" s="14" t="str" cm="1">
        <f t="array" aca="1" ref="G14" ca="1">+IF(IFERROR(TEXT(INDEX(INDIRECT("Pianificazione!e1:e300"),MATCH($A14&amp;G$1,INDIRECT("Pianificazione!c1:c300")&amp;INDIRECT("Pianificazione!a1:a300"),0)),"hh:mm"),"")&amp;"-"&amp;IFERROR(TEXT(INDEX(INDIRECT("Pianificazione!f1:f300"),MATCH($A14&amp;G$1,INDIRECT("Pianificazione!c1:c300")&amp;INDIRECT("Pianificazione!a1:a300"),0)),"hh:mm"),"")="-","Riposo",IFERROR(TEXT(INDEX(INDIRECT("Pianificazione!e1:e300"),MATCH($A14&amp;G$1,INDIRECT("Pianificazione!c1:c300")&amp;INDIRECT("Pianificazione!a1:a300"),0)),"hh:mm"),"")&amp;"-"&amp;IFERROR(TEXT(INDEX(INDIRECT("Pianificazione!f1:f300"),MATCH($A14&amp;G$1,INDIRECT("Pianificazione!c1:c300")&amp;INDIRECT("Pianificazione!a1:a300"),0)),"hh:mm"),""))</f>
        <v>Riposo</v>
      </c>
      <c r="H14" s="14" t="str" cm="1">
        <f t="array" aca="1" ref="H14" ca="1">+IF(IFERROR(TEXT(INDEX(INDIRECT("Pianificazione!e1:e300"),MATCH($A14&amp;H$1,INDIRECT("Pianificazione!c1:c300")&amp;INDIRECT("Pianificazione!a1:a300"),0)),"hh:mm"),"")&amp;"-"&amp;IFERROR(TEXT(INDEX(INDIRECT("Pianificazione!f1:f300"),MATCH($A14&amp;H$1,INDIRECT("Pianificazione!c1:c300")&amp;INDIRECT("Pianificazione!a1:a300"),0)),"hh:mm"),"")="-","Riposo",IFERROR(TEXT(INDEX(INDIRECT("Pianificazione!e1:e300"),MATCH($A14&amp;H$1,INDIRECT("Pianificazione!c1:c300")&amp;INDIRECT("Pianificazione!a1:a300"),0)),"hh:mm"),"")&amp;"-"&amp;IFERROR(TEXT(INDEX(INDIRECT("Pianificazione!f1:f300"),MATCH($A14&amp;H$1,INDIRECT("Pianificazione!c1:c300")&amp;INDIRECT("Pianificazione!a1:a300"),0)),"hh:mm"),""))</f>
        <v>Riposo</v>
      </c>
      <c r="J14" s="3">
        <v>1</v>
      </c>
    </row>
    <row r="15" spans="1:19">
      <c r="A15" t="str">
        <f>+Risorse!B12</f>
        <v>D'acquisto Armida</v>
      </c>
      <c r="B15" s="14" t="str" cm="1">
        <f t="array" aca="1" ref="B15" ca="1">+IF(IFERROR(TEXT(INDEX(INDIRECT("Pianificazione!e1:e300"),MATCH($A15&amp;B$1,INDIRECT("Pianificazione!c1:c300")&amp;INDIRECT("Pianificazione!a1:a300"),0)),"hh:mm"),"")&amp;"-"&amp;IFERROR(TEXT(INDEX(INDIRECT("Pianificazione!f1:f300"),MATCH($A15&amp;B$1,INDIRECT("Pianificazione!c1:c300")&amp;INDIRECT("Pianificazione!a1:a300"),0)),"hh:mm"),"")="-","Riposo",IFERROR(TEXT(INDEX(INDIRECT("Pianificazione!e1:e300"),MATCH($A15&amp;B$1,INDIRECT("Pianificazione!c1:c300")&amp;INDIRECT("Pianificazione!a1:a300"),0)),"hh:mm"),"")&amp;"-"&amp;IFERROR(TEXT(INDEX(INDIRECT("Pianificazione!f1:f300"),MATCH($A15&amp;B$1,INDIRECT("Pianificazione!c1:c300")&amp;INDIRECT("Pianificazione!a1:a300"),0)),"hh:mm"),""))</f>
        <v>Riposo</v>
      </c>
      <c r="C15" s="14" t="str" cm="1">
        <f t="array" aca="1" ref="C15" ca="1">+IF(IFERROR(TEXT(INDEX(INDIRECT("Pianificazione!e1:e300"),MATCH($A15&amp;C$1,INDIRECT("Pianificazione!c1:c300")&amp;INDIRECT("Pianificazione!a1:a300"),0)),"hh:mm"),"")&amp;"-"&amp;IFERROR(TEXT(INDEX(INDIRECT("Pianificazione!f1:f300"),MATCH($A15&amp;C$1,INDIRECT("Pianificazione!c1:c300")&amp;INDIRECT("Pianificazione!a1:a300"),0)),"hh:mm"),"")="-","Riposo",IFERROR(TEXT(INDEX(INDIRECT("Pianificazione!e1:e300"),MATCH($A15&amp;C$1,INDIRECT("Pianificazione!c1:c300")&amp;INDIRECT("Pianificazione!a1:a300"),0)),"hh:mm"),"")&amp;"-"&amp;IFERROR(TEXT(INDEX(INDIRECT("Pianificazione!f1:f300"),MATCH($A15&amp;C$1,INDIRECT("Pianificazione!c1:c300")&amp;INDIRECT("Pianificazione!a1:a300"),0)),"hh:mm"),""))</f>
        <v>Riposo</v>
      </c>
      <c r="D15" s="14" t="str" cm="1">
        <f t="array" aca="1" ref="D15" ca="1">+IF(IFERROR(TEXT(INDEX(INDIRECT("Pianificazione!e1:e300"),MATCH($A15&amp;D$1,INDIRECT("Pianificazione!c1:c300")&amp;INDIRECT("Pianificazione!a1:a300"),0)),"hh:mm"),"")&amp;"-"&amp;IFERROR(TEXT(INDEX(INDIRECT("Pianificazione!f1:f300"),MATCH($A15&amp;D$1,INDIRECT("Pianificazione!c1:c300")&amp;INDIRECT("Pianificazione!a1:a300"),0)),"hh:mm"),"")="-","Riposo",IFERROR(TEXT(INDEX(INDIRECT("Pianificazione!e1:e300"),MATCH($A15&amp;D$1,INDIRECT("Pianificazione!c1:c300")&amp;INDIRECT("Pianificazione!a1:a300"),0)),"hh:mm"),"")&amp;"-"&amp;IFERROR(TEXT(INDEX(INDIRECT("Pianificazione!f1:f300"),MATCH($A15&amp;D$1,INDIRECT("Pianificazione!c1:c300")&amp;INDIRECT("Pianificazione!a1:a300"),0)),"hh:mm"),""))</f>
        <v>Riposo</v>
      </c>
      <c r="E15" s="14" t="str" cm="1">
        <f t="array" aca="1" ref="E15" ca="1">+IF(IFERROR(TEXT(INDEX(INDIRECT("Pianificazione!e1:e300"),MATCH($A15&amp;E$1,INDIRECT("Pianificazione!c1:c300")&amp;INDIRECT("Pianificazione!a1:a300"),0)),"hh:mm"),"")&amp;"-"&amp;IFERROR(TEXT(INDEX(INDIRECT("Pianificazione!f1:f300"),MATCH($A15&amp;E$1,INDIRECT("Pianificazione!c1:c300")&amp;INDIRECT("Pianificazione!a1:a300"),0)),"hh:mm"),"")="-","Riposo",IFERROR(TEXT(INDEX(INDIRECT("Pianificazione!e1:e300"),MATCH($A15&amp;E$1,INDIRECT("Pianificazione!c1:c300")&amp;INDIRECT("Pianificazione!a1:a300"),0)),"hh:mm"),"")&amp;"-"&amp;IFERROR(TEXT(INDEX(INDIRECT("Pianificazione!f1:f300"),MATCH($A15&amp;E$1,INDIRECT("Pianificazione!c1:c300")&amp;INDIRECT("Pianificazione!a1:a300"),0)),"hh:mm"),""))</f>
        <v>Riposo</v>
      </c>
      <c r="F15" s="14" t="str" cm="1">
        <f t="array" aca="1" ref="F15" ca="1">+IF(IFERROR(TEXT(INDEX(INDIRECT("Pianificazione!e1:e300"),MATCH($A15&amp;F$1,INDIRECT("Pianificazione!c1:c300")&amp;INDIRECT("Pianificazione!a1:a300"),0)),"hh:mm"),"")&amp;"-"&amp;IFERROR(TEXT(INDEX(INDIRECT("Pianificazione!f1:f300"),MATCH($A15&amp;F$1,INDIRECT("Pianificazione!c1:c300")&amp;INDIRECT("Pianificazione!a1:a300"),0)),"hh:mm"),"")="-","Riposo",IFERROR(TEXT(INDEX(INDIRECT("Pianificazione!e1:e300"),MATCH($A15&amp;F$1,INDIRECT("Pianificazione!c1:c300")&amp;INDIRECT("Pianificazione!a1:a300"),0)),"hh:mm"),"")&amp;"-"&amp;IFERROR(TEXT(INDEX(INDIRECT("Pianificazione!f1:f300"),MATCH($A15&amp;F$1,INDIRECT("Pianificazione!c1:c300")&amp;INDIRECT("Pianificazione!a1:a300"),0)),"hh:mm"),""))</f>
        <v>Riposo</v>
      </c>
      <c r="G15" s="14" t="str" cm="1">
        <f t="array" aca="1" ref="G15" ca="1">+IF(IFERROR(TEXT(INDEX(INDIRECT("Pianificazione!e1:e300"),MATCH($A15&amp;G$1,INDIRECT("Pianificazione!c1:c300")&amp;INDIRECT("Pianificazione!a1:a300"),0)),"hh:mm"),"")&amp;"-"&amp;IFERROR(TEXT(INDEX(INDIRECT("Pianificazione!f1:f300"),MATCH($A15&amp;G$1,INDIRECT("Pianificazione!c1:c300")&amp;INDIRECT("Pianificazione!a1:a300"),0)),"hh:mm"),"")="-","Riposo",IFERROR(TEXT(INDEX(INDIRECT("Pianificazione!e1:e300"),MATCH($A15&amp;G$1,INDIRECT("Pianificazione!c1:c300")&amp;INDIRECT("Pianificazione!a1:a300"),0)),"hh:mm"),"")&amp;"-"&amp;IFERROR(TEXT(INDEX(INDIRECT("Pianificazione!f1:f300"),MATCH($A15&amp;G$1,INDIRECT("Pianificazione!c1:c300")&amp;INDIRECT("Pianificazione!a1:a300"),0)),"hh:mm"),""))</f>
        <v>Riposo</v>
      </c>
      <c r="H15" s="14" t="str" cm="1">
        <f t="array" aca="1" ref="H15" ca="1">+IF(IFERROR(TEXT(INDEX(INDIRECT("Pianificazione!e1:e300"),MATCH($A15&amp;H$1,INDIRECT("Pianificazione!c1:c300")&amp;INDIRECT("Pianificazione!a1:a300"),0)),"hh:mm"),"")&amp;"-"&amp;IFERROR(TEXT(INDEX(INDIRECT("Pianificazione!f1:f300"),MATCH($A15&amp;H$1,INDIRECT("Pianificazione!c1:c300")&amp;INDIRECT("Pianificazione!a1:a300"),0)),"hh:mm"),"")="-","Riposo",IFERROR(TEXT(INDEX(INDIRECT("Pianificazione!e1:e300"),MATCH($A15&amp;H$1,INDIRECT("Pianificazione!c1:c300")&amp;INDIRECT("Pianificazione!a1:a300"),0)),"hh:mm"),"")&amp;"-"&amp;IFERROR(TEXT(INDEX(INDIRECT("Pianificazione!f1:f300"),MATCH($A15&amp;H$1,INDIRECT("Pianificazione!c1:c300")&amp;INDIRECT("Pianificazione!a1:a300"),0)),"hh:mm"),""))</f>
        <v>Riposo</v>
      </c>
      <c r="J15" s="3">
        <v>1</v>
      </c>
    </row>
    <row r="16" spans="1:19">
      <c r="A16" t="str">
        <f>+Risorse!B13</f>
        <v>Federico Filippo</v>
      </c>
      <c r="B16" s="14" t="str" cm="1">
        <f t="array" aca="1" ref="B16" ca="1">+IF(IFERROR(TEXT(INDEX(INDIRECT("Pianificazione!e1:e300"),MATCH($A16&amp;B$1,INDIRECT("Pianificazione!c1:c300")&amp;INDIRECT("Pianificazione!a1:a300"),0)),"hh:mm"),"")&amp;"-"&amp;IFERROR(TEXT(INDEX(INDIRECT("Pianificazione!f1:f300"),MATCH($A16&amp;B$1,INDIRECT("Pianificazione!c1:c300")&amp;INDIRECT("Pianificazione!a1:a300"),0)),"hh:mm"),"")="-","Riposo",IFERROR(TEXT(INDEX(INDIRECT("Pianificazione!e1:e300"),MATCH($A16&amp;B$1,INDIRECT("Pianificazione!c1:c300")&amp;INDIRECT("Pianificazione!a1:a300"),0)),"hh:mm"),"")&amp;"-"&amp;IFERROR(TEXT(INDEX(INDIRECT("Pianificazione!f1:f300"),MATCH($A16&amp;B$1,INDIRECT("Pianificazione!c1:c300")&amp;INDIRECT("Pianificazione!a1:a300"),0)),"hh:mm"),""))</f>
        <v>Riposo</v>
      </c>
      <c r="C16" s="14" t="str" cm="1">
        <f t="array" aca="1" ref="C16" ca="1">+IF(IFERROR(TEXT(INDEX(INDIRECT("Pianificazione!e1:e300"),MATCH($A16&amp;C$1,INDIRECT("Pianificazione!c1:c300")&amp;INDIRECT("Pianificazione!a1:a300"),0)),"hh:mm"),"")&amp;"-"&amp;IFERROR(TEXT(INDEX(INDIRECT("Pianificazione!f1:f300"),MATCH($A16&amp;C$1,INDIRECT("Pianificazione!c1:c300")&amp;INDIRECT("Pianificazione!a1:a300"),0)),"hh:mm"),"")="-","Riposo",IFERROR(TEXT(INDEX(INDIRECT("Pianificazione!e1:e300"),MATCH($A16&amp;C$1,INDIRECT("Pianificazione!c1:c300")&amp;INDIRECT("Pianificazione!a1:a300"),0)),"hh:mm"),"")&amp;"-"&amp;IFERROR(TEXT(INDEX(INDIRECT("Pianificazione!f1:f300"),MATCH($A16&amp;C$1,INDIRECT("Pianificazione!c1:c300")&amp;INDIRECT("Pianificazione!a1:a300"),0)),"hh:mm"),""))</f>
        <v>Riposo</v>
      </c>
      <c r="D16" s="14" t="str" cm="1">
        <f t="array" aca="1" ref="D16" ca="1">+IF(IFERROR(TEXT(INDEX(INDIRECT("Pianificazione!e1:e300"),MATCH($A16&amp;D$1,INDIRECT("Pianificazione!c1:c300")&amp;INDIRECT("Pianificazione!a1:a300"),0)),"hh:mm"),"")&amp;"-"&amp;IFERROR(TEXT(INDEX(INDIRECT("Pianificazione!f1:f300"),MATCH($A16&amp;D$1,INDIRECT("Pianificazione!c1:c300")&amp;INDIRECT("Pianificazione!a1:a300"),0)),"hh:mm"),"")="-","Riposo",IFERROR(TEXT(INDEX(INDIRECT("Pianificazione!e1:e300"),MATCH($A16&amp;D$1,INDIRECT("Pianificazione!c1:c300")&amp;INDIRECT("Pianificazione!a1:a300"),0)),"hh:mm"),"")&amp;"-"&amp;IFERROR(TEXT(INDEX(INDIRECT("Pianificazione!f1:f300"),MATCH($A16&amp;D$1,INDIRECT("Pianificazione!c1:c300")&amp;INDIRECT("Pianificazione!a1:a300"),0)),"hh:mm"),""))</f>
        <v>Riposo</v>
      </c>
      <c r="E16" s="14" t="str" cm="1">
        <f t="array" aca="1" ref="E16" ca="1">+IF(IFERROR(TEXT(INDEX(INDIRECT("Pianificazione!e1:e300"),MATCH($A16&amp;E$1,INDIRECT("Pianificazione!c1:c300")&amp;INDIRECT("Pianificazione!a1:a300"),0)),"hh:mm"),"")&amp;"-"&amp;IFERROR(TEXT(INDEX(INDIRECT("Pianificazione!f1:f300"),MATCH($A16&amp;E$1,INDIRECT("Pianificazione!c1:c300")&amp;INDIRECT("Pianificazione!a1:a300"),0)),"hh:mm"),"")="-","Riposo",IFERROR(TEXT(INDEX(INDIRECT("Pianificazione!e1:e300"),MATCH($A16&amp;E$1,INDIRECT("Pianificazione!c1:c300")&amp;INDIRECT("Pianificazione!a1:a300"),0)),"hh:mm"),"")&amp;"-"&amp;IFERROR(TEXT(INDEX(INDIRECT("Pianificazione!f1:f300"),MATCH($A16&amp;E$1,INDIRECT("Pianificazione!c1:c300")&amp;INDIRECT("Pianificazione!a1:a300"),0)),"hh:mm"),""))</f>
        <v>Riposo</v>
      </c>
      <c r="F16" s="14" t="str" cm="1">
        <f t="array" aca="1" ref="F16" ca="1">+IF(IFERROR(TEXT(INDEX(INDIRECT("Pianificazione!e1:e300"),MATCH($A16&amp;F$1,INDIRECT("Pianificazione!c1:c300")&amp;INDIRECT("Pianificazione!a1:a300"),0)),"hh:mm"),"")&amp;"-"&amp;IFERROR(TEXT(INDEX(INDIRECT("Pianificazione!f1:f300"),MATCH($A16&amp;F$1,INDIRECT("Pianificazione!c1:c300")&amp;INDIRECT("Pianificazione!a1:a300"),0)),"hh:mm"),"")="-","Riposo",IFERROR(TEXT(INDEX(INDIRECT("Pianificazione!e1:e300"),MATCH($A16&amp;F$1,INDIRECT("Pianificazione!c1:c300")&amp;INDIRECT("Pianificazione!a1:a300"),0)),"hh:mm"),"")&amp;"-"&amp;IFERROR(TEXT(INDEX(INDIRECT("Pianificazione!f1:f300"),MATCH($A16&amp;F$1,INDIRECT("Pianificazione!c1:c300")&amp;INDIRECT("Pianificazione!a1:a300"),0)),"hh:mm"),""))</f>
        <v>Riposo</v>
      </c>
      <c r="G16" s="14" t="str" cm="1">
        <f t="array" aca="1" ref="G16" ca="1">+IF(IFERROR(TEXT(INDEX(INDIRECT("Pianificazione!e1:e300"),MATCH($A16&amp;G$1,INDIRECT("Pianificazione!c1:c300")&amp;INDIRECT("Pianificazione!a1:a300"),0)),"hh:mm"),"")&amp;"-"&amp;IFERROR(TEXT(INDEX(INDIRECT("Pianificazione!f1:f300"),MATCH($A16&amp;G$1,INDIRECT("Pianificazione!c1:c300")&amp;INDIRECT("Pianificazione!a1:a300"),0)),"hh:mm"),"")="-","Riposo",IFERROR(TEXT(INDEX(INDIRECT("Pianificazione!e1:e300"),MATCH($A16&amp;G$1,INDIRECT("Pianificazione!c1:c300")&amp;INDIRECT("Pianificazione!a1:a300"),0)),"hh:mm"),"")&amp;"-"&amp;IFERROR(TEXT(INDEX(INDIRECT("Pianificazione!f1:f300"),MATCH($A16&amp;G$1,INDIRECT("Pianificazione!c1:c300")&amp;INDIRECT("Pianificazione!a1:a300"),0)),"hh:mm"),""))</f>
        <v>Riposo</v>
      </c>
      <c r="H16" s="14" t="str" cm="1">
        <f t="array" aca="1" ref="H16" ca="1">+IF(IFERROR(TEXT(INDEX(INDIRECT("Pianificazione!e1:e300"),MATCH($A16&amp;H$1,INDIRECT("Pianificazione!c1:c300")&amp;INDIRECT("Pianificazione!a1:a300"),0)),"hh:mm"),"")&amp;"-"&amp;IFERROR(TEXT(INDEX(INDIRECT("Pianificazione!f1:f300"),MATCH($A16&amp;H$1,INDIRECT("Pianificazione!c1:c300")&amp;INDIRECT("Pianificazione!a1:a300"),0)),"hh:mm"),"")="-","Riposo",IFERROR(TEXT(INDEX(INDIRECT("Pianificazione!e1:e300"),MATCH($A16&amp;H$1,INDIRECT("Pianificazione!c1:c300")&amp;INDIRECT("Pianificazione!a1:a300"),0)),"hh:mm"),"")&amp;"-"&amp;IFERROR(TEXT(INDEX(INDIRECT("Pianificazione!f1:f300"),MATCH($A16&amp;H$1,INDIRECT("Pianificazione!c1:c300")&amp;INDIRECT("Pianificazione!a1:a300"),0)),"hh:mm"),""))</f>
        <v>Riposo</v>
      </c>
      <c r="J16" s="3">
        <v>1</v>
      </c>
    </row>
    <row r="17" spans="1:10">
      <c r="A17" t="str">
        <f>+Risorse!B14</f>
        <v>Greco Loredana</v>
      </c>
      <c r="B17" s="14" t="str" cm="1">
        <f t="array" aca="1" ref="B17" ca="1">+IF(IFERROR(TEXT(INDEX(INDIRECT("Pianificazione!e1:e300"),MATCH($A17&amp;B$1,INDIRECT("Pianificazione!c1:c300")&amp;INDIRECT("Pianificazione!a1:a300"),0)),"hh:mm"),"")&amp;"-"&amp;IFERROR(TEXT(INDEX(INDIRECT("Pianificazione!f1:f300"),MATCH($A17&amp;B$1,INDIRECT("Pianificazione!c1:c300")&amp;INDIRECT("Pianificazione!a1:a300"),0)),"hh:mm"),"")="-","Riposo",IFERROR(TEXT(INDEX(INDIRECT("Pianificazione!e1:e300"),MATCH($A17&amp;B$1,INDIRECT("Pianificazione!c1:c300")&amp;INDIRECT("Pianificazione!a1:a300"),0)),"hh:mm"),"")&amp;"-"&amp;IFERROR(TEXT(INDEX(INDIRECT("Pianificazione!f1:f300"),MATCH($A17&amp;B$1,INDIRECT("Pianificazione!c1:c300")&amp;INDIRECT("Pianificazione!a1:a300"),0)),"hh:mm"),""))</f>
        <v>Riposo</v>
      </c>
      <c r="C17" s="14" t="str" cm="1">
        <f t="array" aca="1" ref="C17" ca="1">+IF(IFERROR(TEXT(INDEX(INDIRECT("Pianificazione!e1:e300"),MATCH($A17&amp;C$1,INDIRECT("Pianificazione!c1:c300")&amp;INDIRECT("Pianificazione!a1:a300"),0)),"hh:mm"),"")&amp;"-"&amp;IFERROR(TEXT(INDEX(INDIRECT("Pianificazione!f1:f300"),MATCH($A17&amp;C$1,INDIRECT("Pianificazione!c1:c300")&amp;INDIRECT("Pianificazione!a1:a300"),0)),"hh:mm"),"")="-","Riposo",IFERROR(TEXT(INDEX(INDIRECT("Pianificazione!e1:e300"),MATCH($A17&amp;C$1,INDIRECT("Pianificazione!c1:c300")&amp;INDIRECT("Pianificazione!a1:a300"),0)),"hh:mm"),"")&amp;"-"&amp;IFERROR(TEXT(INDEX(INDIRECT("Pianificazione!f1:f300"),MATCH($A17&amp;C$1,INDIRECT("Pianificazione!c1:c300")&amp;INDIRECT("Pianificazione!a1:a300"),0)),"hh:mm"),""))</f>
        <v>Riposo</v>
      </c>
      <c r="D17" s="14" t="str" cm="1">
        <f t="array" aca="1" ref="D17" ca="1">+IF(IFERROR(TEXT(INDEX(INDIRECT("Pianificazione!e1:e300"),MATCH($A17&amp;D$1,INDIRECT("Pianificazione!c1:c300")&amp;INDIRECT("Pianificazione!a1:a300"),0)),"hh:mm"),"")&amp;"-"&amp;IFERROR(TEXT(INDEX(INDIRECT("Pianificazione!f1:f300"),MATCH($A17&amp;D$1,INDIRECT("Pianificazione!c1:c300")&amp;INDIRECT("Pianificazione!a1:a300"),0)),"hh:mm"),"")="-","Riposo",IFERROR(TEXT(INDEX(INDIRECT("Pianificazione!e1:e300"),MATCH($A17&amp;D$1,INDIRECT("Pianificazione!c1:c300")&amp;INDIRECT("Pianificazione!a1:a300"),0)),"hh:mm"),"")&amp;"-"&amp;IFERROR(TEXT(INDEX(INDIRECT("Pianificazione!f1:f300"),MATCH($A17&amp;D$1,INDIRECT("Pianificazione!c1:c300")&amp;INDIRECT("Pianificazione!a1:a300"),0)),"hh:mm"),""))</f>
        <v>Riposo</v>
      </c>
      <c r="E17" s="14" t="str" cm="1">
        <f t="array" aca="1" ref="E17" ca="1">+IF(IFERROR(TEXT(INDEX(INDIRECT("Pianificazione!e1:e300"),MATCH($A17&amp;E$1,INDIRECT("Pianificazione!c1:c300")&amp;INDIRECT("Pianificazione!a1:a300"),0)),"hh:mm"),"")&amp;"-"&amp;IFERROR(TEXT(INDEX(INDIRECT("Pianificazione!f1:f300"),MATCH($A17&amp;E$1,INDIRECT("Pianificazione!c1:c300")&amp;INDIRECT("Pianificazione!a1:a300"),0)),"hh:mm"),"")="-","Riposo",IFERROR(TEXT(INDEX(INDIRECT("Pianificazione!e1:e300"),MATCH($A17&amp;E$1,INDIRECT("Pianificazione!c1:c300")&amp;INDIRECT("Pianificazione!a1:a300"),0)),"hh:mm"),"")&amp;"-"&amp;IFERROR(TEXT(INDEX(INDIRECT("Pianificazione!f1:f300"),MATCH($A17&amp;E$1,INDIRECT("Pianificazione!c1:c300")&amp;INDIRECT("Pianificazione!a1:a300"),0)),"hh:mm"),""))</f>
        <v>Riposo</v>
      </c>
      <c r="F17" s="14" t="str" cm="1">
        <f t="array" aca="1" ref="F17" ca="1">+IF(IFERROR(TEXT(INDEX(INDIRECT("Pianificazione!e1:e300"),MATCH($A17&amp;F$1,INDIRECT("Pianificazione!c1:c300")&amp;INDIRECT("Pianificazione!a1:a300"),0)),"hh:mm"),"")&amp;"-"&amp;IFERROR(TEXT(INDEX(INDIRECT("Pianificazione!f1:f300"),MATCH($A17&amp;F$1,INDIRECT("Pianificazione!c1:c300")&amp;INDIRECT("Pianificazione!a1:a300"),0)),"hh:mm"),"")="-","Riposo",IFERROR(TEXT(INDEX(INDIRECT("Pianificazione!e1:e300"),MATCH($A17&amp;F$1,INDIRECT("Pianificazione!c1:c300")&amp;INDIRECT("Pianificazione!a1:a300"),0)),"hh:mm"),"")&amp;"-"&amp;IFERROR(TEXT(INDEX(INDIRECT("Pianificazione!f1:f300"),MATCH($A17&amp;F$1,INDIRECT("Pianificazione!c1:c300")&amp;INDIRECT("Pianificazione!a1:a300"),0)),"hh:mm"),""))</f>
        <v>Riposo</v>
      </c>
      <c r="G17" s="14" t="str" cm="1">
        <f t="array" aca="1" ref="G17" ca="1">+IF(IFERROR(TEXT(INDEX(INDIRECT("Pianificazione!e1:e300"),MATCH($A17&amp;G$1,INDIRECT("Pianificazione!c1:c300")&amp;INDIRECT("Pianificazione!a1:a300"),0)),"hh:mm"),"")&amp;"-"&amp;IFERROR(TEXT(INDEX(INDIRECT("Pianificazione!f1:f300"),MATCH($A17&amp;G$1,INDIRECT("Pianificazione!c1:c300")&amp;INDIRECT("Pianificazione!a1:a300"),0)),"hh:mm"),"")="-","Riposo",IFERROR(TEXT(INDEX(INDIRECT("Pianificazione!e1:e300"),MATCH($A17&amp;G$1,INDIRECT("Pianificazione!c1:c300")&amp;INDIRECT("Pianificazione!a1:a300"),0)),"hh:mm"),"")&amp;"-"&amp;IFERROR(TEXT(INDEX(INDIRECT("Pianificazione!f1:f300"),MATCH($A17&amp;G$1,INDIRECT("Pianificazione!c1:c300")&amp;INDIRECT("Pianificazione!a1:a300"),0)),"hh:mm"),""))</f>
        <v>Riposo</v>
      </c>
      <c r="H17" s="14" t="str" cm="1">
        <f t="array" aca="1" ref="H17" ca="1">+IF(IFERROR(TEXT(INDEX(INDIRECT("Pianificazione!e1:e300"),MATCH($A17&amp;H$1,INDIRECT("Pianificazione!c1:c300")&amp;INDIRECT("Pianificazione!a1:a300"),0)),"hh:mm"),"")&amp;"-"&amp;IFERROR(TEXT(INDEX(INDIRECT("Pianificazione!f1:f300"),MATCH($A17&amp;H$1,INDIRECT("Pianificazione!c1:c300")&amp;INDIRECT("Pianificazione!a1:a300"),0)),"hh:mm"),"")="-","Riposo",IFERROR(TEXT(INDEX(INDIRECT("Pianificazione!e1:e300"),MATCH($A17&amp;H$1,INDIRECT("Pianificazione!c1:c300")&amp;INDIRECT("Pianificazione!a1:a300"),0)),"hh:mm"),"")&amp;"-"&amp;IFERROR(TEXT(INDEX(INDIRECT("Pianificazione!f1:f300"),MATCH($A17&amp;H$1,INDIRECT("Pianificazione!c1:c300")&amp;INDIRECT("Pianificazione!a1:a300"),0)),"hh:mm"),""))</f>
        <v>Riposo</v>
      </c>
      <c r="J17" s="3">
        <v>1</v>
      </c>
    </row>
    <row r="18" spans="1:10">
      <c r="A18" t="str">
        <f>+Risorse!B15</f>
        <v>Gullo Patrizia</v>
      </c>
      <c r="B18" s="14" t="str" cm="1">
        <f t="array" aca="1" ref="B18" ca="1">+IF(IFERROR(TEXT(INDEX(INDIRECT("Pianificazione!e1:e300"),MATCH($A18&amp;B$1,INDIRECT("Pianificazione!c1:c300")&amp;INDIRECT("Pianificazione!a1:a300"),0)),"hh:mm"),"")&amp;"-"&amp;IFERROR(TEXT(INDEX(INDIRECT("Pianificazione!f1:f300"),MATCH($A18&amp;B$1,INDIRECT("Pianificazione!c1:c300")&amp;INDIRECT("Pianificazione!a1:a300"),0)),"hh:mm"),"")="-","Riposo",IFERROR(TEXT(INDEX(INDIRECT("Pianificazione!e1:e300"),MATCH($A18&amp;B$1,INDIRECT("Pianificazione!c1:c300")&amp;INDIRECT("Pianificazione!a1:a300"),0)),"hh:mm"),"")&amp;"-"&amp;IFERROR(TEXT(INDEX(INDIRECT("Pianificazione!f1:f300"),MATCH($A18&amp;B$1,INDIRECT("Pianificazione!c1:c300")&amp;INDIRECT("Pianificazione!a1:a300"),0)),"hh:mm"),""))</f>
        <v>Riposo</v>
      </c>
      <c r="C18" s="14" t="str" cm="1">
        <f t="array" aca="1" ref="C18" ca="1">+IF(IFERROR(TEXT(INDEX(INDIRECT("Pianificazione!e1:e300"),MATCH($A18&amp;C$1,INDIRECT("Pianificazione!c1:c300")&amp;INDIRECT("Pianificazione!a1:a300"),0)),"hh:mm"),"")&amp;"-"&amp;IFERROR(TEXT(INDEX(INDIRECT("Pianificazione!f1:f300"),MATCH($A18&amp;C$1,INDIRECT("Pianificazione!c1:c300")&amp;INDIRECT("Pianificazione!a1:a300"),0)),"hh:mm"),"")="-","Riposo",IFERROR(TEXT(INDEX(INDIRECT("Pianificazione!e1:e300"),MATCH($A18&amp;C$1,INDIRECT("Pianificazione!c1:c300")&amp;INDIRECT("Pianificazione!a1:a300"),0)),"hh:mm"),"")&amp;"-"&amp;IFERROR(TEXT(INDEX(INDIRECT("Pianificazione!f1:f300"),MATCH($A18&amp;C$1,INDIRECT("Pianificazione!c1:c300")&amp;INDIRECT("Pianificazione!a1:a300"),0)),"hh:mm"),""))</f>
        <v>Riposo</v>
      </c>
      <c r="D18" s="14" t="str" cm="1">
        <f t="array" aca="1" ref="D18" ca="1">+IF(IFERROR(TEXT(INDEX(INDIRECT("Pianificazione!e1:e300"),MATCH($A18&amp;D$1,INDIRECT("Pianificazione!c1:c300")&amp;INDIRECT("Pianificazione!a1:a300"),0)),"hh:mm"),"")&amp;"-"&amp;IFERROR(TEXT(INDEX(INDIRECT("Pianificazione!f1:f300"),MATCH($A18&amp;D$1,INDIRECT("Pianificazione!c1:c300")&amp;INDIRECT("Pianificazione!a1:a300"),0)),"hh:mm"),"")="-","Riposo",IFERROR(TEXT(INDEX(INDIRECT("Pianificazione!e1:e300"),MATCH($A18&amp;D$1,INDIRECT("Pianificazione!c1:c300")&amp;INDIRECT("Pianificazione!a1:a300"),0)),"hh:mm"),"")&amp;"-"&amp;IFERROR(TEXT(INDEX(INDIRECT("Pianificazione!f1:f300"),MATCH($A18&amp;D$1,INDIRECT("Pianificazione!c1:c300")&amp;INDIRECT("Pianificazione!a1:a300"),0)),"hh:mm"),""))</f>
        <v>Riposo</v>
      </c>
      <c r="E18" s="14" t="str" cm="1">
        <f t="array" aca="1" ref="E18" ca="1">+IF(IFERROR(TEXT(INDEX(INDIRECT("Pianificazione!e1:e300"),MATCH($A18&amp;E$1,INDIRECT("Pianificazione!c1:c300")&amp;INDIRECT("Pianificazione!a1:a300"),0)),"hh:mm"),"")&amp;"-"&amp;IFERROR(TEXT(INDEX(INDIRECT("Pianificazione!f1:f300"),MATCH($A18&amp;E$1,INDIRECT("Pianificazione!c1:c300")&amp;INDIRECT("Pianificazione!a1:a300"),0)),"hh:mm"),"")="-","Riposo",IFERROR(TEXT(INDEX(INDIRECT("Pianificazione!e1:e300"),MATCH($A18&amp;E$1,INDIRECT("Pianificazione!c1:c300")&amp;INDIRECT("Pianificazione!a1:a300"),0)),"hh:mm"),"")&amp;"-"&amp;IFERROR(TEXT(INDEX(INDIRECT("Pianificazione!f1:f300"),MATCH($A18&amp;E$1,INDIRECT("Pianificazione!c1:c300")&amp;INDIRECT("Pianificazione!a1:a300"),0)),"hh:mm"),""))</f>
        <v>Riposo</v>
      </c>
      <c r="F18" s="14" t="str" cm="1">
        <f t="array" aca="1" ref="F18" ca="1">+IF(IFERROR(TEXT(INDEX(INDIRECT("Pianificazione!e1:e300"),MATCH($A18&amp;F$1,INDIRECT("Pianificazione!c1:c300")&amp;INDIRECT("Pianificazione!a1:a300"),0)),"hh:mm"),"")&amp;"-"&amp;IFERROR(TEXT(INDEX(INDIRECT("Pianificazione!f1:f300"),MATCH($A18&amp;F$1,INDIRECT("Pianificazione!c1:c300")&amp;INDIRECT("Pianificazione!a1:a300"),0)),"hh:mm"),"")="-","Riposo",IFERROR(TEXT(INDEX(INDIRECT("Pianificazione!e1:e300"),MATCH($A18&amp;F$1,INDIRECT("Pianificazione!c1:c300")&amp;INDIRECT("Pianificazione!a1:a300"),0)),"hh:mm"),"")&amp;"-"&amp;IFERROR(TEXT(INDEX(INDIRECT("Pianificazione!f1:f300"),MATCH($A18&amp;F$1,INDIRECT("Pianificazione!c1:c300")&amp;INDIRECT("Pianificazione!a1:a300"),0)),"hh:mm"),""))</f>
        <v>Riposo</v>
      </c>
      <c r="G18" s="14" t="str" cm="1">
        <f t="array" aca="1" ref="G18" ca="1">+IF(IFERROR(TEXT(INDEX(INDIRECT("Pianificazione!e1:e300"),MATCH($A18&amp;G$1,INDIRECT("Pianificazione!c1:c300")&amp;INDIRECT("Pianificazione!a1:a300"),0)),"hh:mm"),"")&amp;"-"&amp;IFERROR(TEXT(INDEX(INDIRECT("Pianificazione!f1:f300"),MATCH($A18&amp;G$1,INDIRECT("Pianificazione!c1:c300")&amp;INDIRECT("Pianificazione!a1:a300"),0)),"hh:mm"),"")="-","Riposo",IFERROR(TEXT(INDEX(INDIRECT("Pianificazione!e1:e300"),MATCH($A18&amp;G$1,INDIRECT("Pianificazione!c1:c300")&amp;INDIRECT("Pianificazione!a1:a300"),0)),"hh:mm"),"")&amp;"-"&amp;IFERROR(TEXT(INDEX(INDIRECT("Pianificazione!f1:f300"),MATCH($A18&amp;G$1,INDIRECT("Pianificazione!c1:c300")&amp;INDIRECT("Pianificazione!a1:a300"),0)),"hh:mm"),""))</f>
        <v>Riposo</v>
      </c>
      <c r="H18" s="14" t="str" cm="1">
        <f t="array" aca="1" ref="H18" ca="1">+IF(IFERROR(TEXT(INDEX(INDIRECT("Pianificazione!e1:e300"),MATCH($A18&amp;H$1,INDIRECT("Pianificazione!c1:c300")&amp;INDIRECT("Pianificazione!a1:a300"),0)),"hh:mm"),"")&amp;"-"&amp;IFERROR(TEXT(INDEX(INDIRECT("Pianificazione!f1:f300"),MATCH($A18&amp;H$1,INDIRECT("Pianificazione!c1:c300")&amp;INDIRECT("Pianificazione!a1:a300"),0)),"hh:mm"),"")="-","Riposo",IFERROR(TEXT(INDEX(INDIRECT("Pianificazione!e1:e300"),MATCH($A18&amp;H$1,INDIRECT("Pianificazione!c1:c300")&amp;INDIRECT("Pianificazione!a1:a300"),0)),"hh:mm"),"")&amp;"-"&amp;IFERROR(TEXT(INDEX(INDIRECT("Pianificazione!f1:f300"),MATCH($A18&amp;H$1,INDIRECT("Pianificazione!c1:c300")&amp;INDIRECT("Pianificazione!a1:a300"),0)),"hh:mm"),""))</f>
        <v>Riposo</v>
      </c>
      <c r="J18" s="3">
        <v>1</v>
      </c>
    </row>
    <row r="19" spans="1:10">
      <c r="A19" t="str">
        <f>+Risorse!B16</f>
        <v>Imparato Emanuele</v>
      </c>
      <c r="B19" s="14" t="str" cm="1">
        <f t="array" aca="1" ref="B19" ca="1">+IF(IFERROR(TEXT(INDEX(INDIRECT("Pianificazione!e1:e300"),MATCH($A19&amp;B$1,INDIRECT("Pianificazione!c1:c300")&amp;INDIRECT("Pianificazione!a1:a300"),0)),"hh:mm"),"")&amp;"-"&amp;IFERROR(TEXT(INDEX(INDIRECT("Pianificazione!f1:f300"),MATCH($A19&amp;B$1,INDIRECT("Pianificazione!c1:c300")&amp;INDIRECT("Pianificazione!a1:a300"),0)),"hh:mm"),"")="-","Riposo",IFERROR(TEXT(INDEX(INDIRECT("Pianificazione!e1:e300"),MATCH($A19&amp;B$1,INDIRECT("Pianificazione!c1:c300")&amp;INDIRECT("Pianificazione!a1:a300"),0)),"hh:mm"),"")&amp;"-"&amp;IFERROR(TEXT(INDEX(INDIRECT("Pianificazione!f1:f300"),MATCH($A19&amp;B$1,INDIRECT("Pianificazione!c1:c300")&amp;INDIRECT("Pianificazione!a1:a300"),0)),"hh:mm"),""))</f>
        <v>Riposo</v>
      </c>
      <c r="C19" s="14" t="str" cm="1">
        <f t="array" aca="1" ref="C19" ca="1">+IF(IFERROR(TEXT(INDEX(INDIRECT("Pianificazione!e1:e300"),MATCH($A19&amp;C$1,INDIRECT("Pianificazione!c1:c300")&amp;INDIRECT("Pianificazione!a1:a300"),0)),"hh:mm"),"")&amp;"-"&amp;IFERROR(TEXT(INDEX(INDIRECT("Pianificazione!f1:f300"),MATCH($A19&amp;C$1,INDIRECT("Pianificazione!c1:c300")&amp;INDIRECT("Pianificazione!a1:a300"),0)),"hh:mm"),"")="-","Riposo",IFERROR(TEXT(INDEX(INDIRECT("Pianificazione!e1:e300"),MATCH($A19&amp;C$1,INDIRECT("Pianificazione!c1:c300")&amp;INDIRECT("Pianificazione!a1:a300"),0)),"hh:mm"),"")&amp;"-"&amp;IFERROR(TEXT(INDEX(INDIRECT("Pianificazione!f1:f300"),MATCH($A19&amp;C$1,INDIRECT("Pianificazione!c1:c300")&amp;INDIRECT("Pianificazione!a1:a300"),0)),"hh:mm"),""))</f>
        <v>Riposo</v>
      </c>
      <c r="D19" s="14" t="str" cm="1">
        <f t="array" aca="1" ref="D19" ca="1">+IF(IFERROR(TEXT(INDEX(INDIRECT("Pianificazione!e1:e300"),MATCH($A19&amp;D$1,INDIRECT("Pianificazione!c1:c300")&amp;INDIRECT("Pianificazione!a1:a300"),0)),"hh:mm"),"")&amp;"-"&amp;IFERROR(TEXT(INDEX(INDIRECT("Pianificazione!f1:f300"),MATCH($A19&amp;D$1,INDIRECT("Pianificazione!c1:c300")&amp;INDIRECT("Pianificazione!a1:a300"),0)),"hh:mm"),"")="-","Riposo",IFERROR(TEXT(INDEX(INDIRECT("Pianificazione!e1:e300"),MATCH($A19&amp;D$1,INDIRECT("Pianificazione!c1:c300")&amp;INDIRECT("Pianificazione!a1:a300"),0)),"hh:mm"),"")&amp;"-"&amp;IFERROR(TEXT(INDEX(INDIRECT("Pianificazione!f1:f300"),MATCH($A19&amp;D$1,INDIRECT("Pianificazione!c1:c300")&amp;INDIRECT("Pianificazione!a1:a300"),0)),"hh:mm"),""))</f>
        <v>Riposo</v>
      </c>
      <c r="E19" s="14" t="str" cm="1">
        <f t="array" aca="1" ref="E19" ca="1">+IF(IFERROR(TEXT(INDEX(INDIRECT("Pianificazione!e1:e300"),MATCH($A19&amp;E$1,INDIRECT("Pianificazione!c1:c300")&amp;INDIRECT("Pianificazione!a1:a300"),0)),"hh:mm"),"")&amp;"-"&amp;IFERROR(TEXT(INDEX(INDIRECT("Pianificazione!f1:f300"),MATCH($A19&amp;E$1,INDIRECT("Pianificazione!c1:c300")&amp;INDIRECT("Pianificazione!a1:a300"),0)),"hh:mm"),"")="-","Riposo",IFERROR(TEXT(INDEX(INDIRECT("Pianificazione!e1:e300"),MATCH($A19&amp;E$1,INDIRECT("Pianificazione!c1:c300")&amp;INDIRECT("Pianificazione!a1:a300"),0)),"hh:mm"),"")&amp;"-"&amp;IFERROR(TEXT(INDEX(INDIRECT("Pianificazione!f1:f300"),MATCH($A19&amp;E$1,INDIRECT("Pianificazione!c1:c300")&amp;INDIRECT("Pianificazione!a1:a300"),0)),"hh:mm"),""))</f>
        <v>Riposo</v>
      </c>
      <c r="F19" s="14" t="str" cm="1">
        <f t="array" aca="1" ref="F19" ca="1">+IF(IFERROR(TEXT(INDEX(INDIRECT("Pianificazione!e1:e300"),MATCH($A19&amp;F$1,INDIRECT("Pianificazione!c1:c300")&amp;INDIRECT("Pianificazione!a1:a300"),0)),"hh:mm"),"")&amp;"-"&amp;IFERROR(TEXT(INDEX(INDIRECT("Pianificazione!f1:f300"),MATCH($A19&amp;F$1,INDIRECT("Pianificazione!c1:c300")&amp;INDIRECT("Pianificazione!a1:a300"),0)),"hh:mm"),"")="-","Riposo",IFERROR(TEXT(INDEX(INDIRECT("Pianificazione!e1:e300"),MATCH($A19&amp;F$1,INDIRECT("Pianificazione!c1:c300")&amp;INDIRECT("Pianificazione!a1:a300"),0)),"hh:mm"),"")&amp;"-"&amp;IFERROR(TEXT(INDEX(INDIRECT("Pianificazione!f1:f300"),MATCH($A19&amp;F$1,INDIRECT("Pianificazione!c1:c300")&amp;INDIRECT("Pianificazione!a1:a300"),0)),"hh:mm"),""))</f>
        <v>Riposo</v>
      </c>
      <c r="G19" s="14" t="str" cm="1">
        <f t="array" aca="1" ref="G19" ca="1">+IF(IFERROR(TEXT(INDEX(INDIRECT("Pianificazione!e1:e300"),MATCH($A19&amp;G$1,INDIRECT("Pianificazione!c1:c300")&amp;INDIRECT("Pianificazione!a1:a300"),0)),"hh:mm"),"")&amp;"-"&amp;IFERROR(TEXT(INDEX(INDIRECT("Pianificazione!f1:f300"),MATCH($A19&amp;G$1,INDIRECT("Pianificazione!c1:c300")&amp;INDIRECT("Pianificazione!a1:a300"),0)),"hh:mm"),"")="-","Riposo",IFERROR(TEXT(INDEX(INDIRECT("Pianificazione!e1:e300"),MATCH($A19&amp;G$1,INDIRECT("Pianificazione!c1:c300")&amp;INDIRECT("Pianificazione!a1:a300"),0)),"hh:mm"),"")&amp;"-"&amp;IFERROR(TEXT(INDEX(INDIRECT("Pianificazione!f1:f300"),MATCH($A19&amp;G$1,INDIRECT("Pianificazione!c1:c300")&amp;INDIRECT("Pianificazione!a1:a300"),0)),"hh:mm"),""))</f>
        <v>Riposo</v>
      </c>
      <c r="H19" s="14" t="str" cm="1">
        <f t="array" aca="1" ref="H19" ca="1">+IF(IFERROR(TEXT(INDEX(INDIRECT("Pianificazione!e1:e300"),MATCH($A19&amp;H$1,INDIRECT("Pianificazione!c1:c300")&amp;INDIRECT("Pianificazione!a1:a300"),0)),"hh:mm"),"")&amp;"-"&amp;IFERROR(TEXT(INDEX(INDIRECT("Pianificazione!f1:f300"),MATCH($A19&amp;H$1,INDIRECT("Pianificazione!c1:c300")&amp;INDIRECT("Pianificazione!a1:a300"),0)),"hh:mm"),"")="-","Riposo",IFERROR(TEXT(INDEX(INDIRECT("Pianificazione!e1:e300"),MATCH($A19&amp;H$1,INDIRECT("Pianificazione!c1:c300")&amp;INDIRECT("Pianificazione!a1:a300"),0)),"hh:mm"),"")&amp;"-"&amp;IFERROR(TEXT(INDEX(INDIRECT("Pianificazione!f1:f300"),MATCH($A19&amp;H$1,INDIRECT("Pianificazione!c1:c300")&amp;INDIRECT("Pianificazione!a1:a300"),0)),"hh:mm"),""))</f>
        <v>Riposo</v>
      </c>
      <c r="J19" s="3">
        <v>1</v>
      </c>
    </row>
    <row r="20" spans="1:10">
      <c r="A20" t="str">
        <f>+Risorse!B17</f>
        <v>Mancuso Vito</v>
      </c>
      <c r="B20" s="14" t="str" cm="1">
        <f t="array" aca="1" ref="B20" ca="1">+IF(IFERROR(TEXT(INDEX(INDIRECT("Pianificazione!e1:e300"),MATCH($A20&amp;B$1,INDIRECT("Pianificazione!c1:c300")&amp;INDIRECT("Pianificazione!a1:a300"),0)),"hh:mm"),"")&amp;"-"&amp;IFERROR(TEXT(INDEX(INDIRECT("Pianificazione!f1:f300"),MATCH($A20&amp;B$1,INDIRECT("Pianificazione!c1:c300")&amp;INDIRECT("Pianificazione!a1:a300"),0)),"hh:mm"),"")="-","Riposo",IFERROR(TEXT(INDEX(INDIRECT("Pianificazione!e1:e300"),MATCH($A20&amp;B$1,INDIRECT("Pianificazione!c1:c300")&amp;INDIRECT("Pianificazione!a1:a300"),0)),"hh:mm"),"")&amp;"-"&amp;IFERROR(TEXT(INDEX(INDIRECT("Pianificazione!f1:f300"),MATCH($A20&amp;B$1,INDIRECT("Pianificazione!c1:c300")&amp;INDIRECT("Pianificazione!a1:a300"),0)),"hh:mm"),""))</f>
        <v>Riposo</v>
      </c>
      <c r="C20" s="14" t="str" cm="1">
        <f t="array" aca="1" ref="C20" ca="1">+IF(IFERROR(TEXT(INDEX(INDIRECT("Pianificazione!e1:e300"),MATCH($A20&amp;C$1,INDIRECT("Pianificazione!c1:c300")&amp;INDIRECT("Pianificazione!a1:a300"),0)),"hh:mm"),"")&amp;"-"&amp;IFERROR(TEXT(INDEX(INDIRECT("Pianificazione!f1:f300"),MATCH($A20&amp;C$1,INDIRECT("Pianificazione!c1:c300")&amp;INDIRECT("Pianificazione!a1:a300"),0)),"hh:mm"),"")="-","Riposo",IFERROR(TEXT(INDEX(INDIRECT("Pianificazione!e1:e300"),MATCH($A20&amp;C$1,INDIRECT("Pianificazione!c1:c300")&amp;INDIRECT("Pianificazione!a1:a300"),0)),"hh:mm"),"")&amp;"-"&amp;IFERROR(TEXT(INDEX(INDIRECT("Pianificazione!f1:f300"),MATCH($A20&amp;C$1,INDIRECT("Pianificazione!c1:c300")&amp;INDIRECT("Pianificazione!a1:a300"),0)),"hh:mm"),""))</f>
        <v>Riposo</v>
      </c>
      <c r="D20" s="14" t="str" cm="1">
        <f t="array" aca="1" ref="D20" ca="1">+IF(IFERROR(TEXT(INDEX(INDIRECT("Pianificazione!e1:e300"),MATCH($A20&amp;D$1,INDIRECT("Pianificazione!c1:c300")&amp;INDIRECT("Pianificazione!a1:a300"),0)),"hh:mm"),"")&amp;"-"&amp;IFERROR(TEXT(INDEX(INDIRECT("Pianificazione!f1:f300"),MATCH($A20&amp;D$1,INDIRECT("Pianificazione!c1:c300")&amp;INDIRECT("Pianificazione!a1:a300"),0)),"hh:mm"),"")="-","Riposo",IFERROR(TEXT(INDEX(INDIRECT("Pianificazione!e1:e300"),MATCH($A20&amp;D$1,INDIRECT("Pianificazione!c1:c300")&amp;INDIRECT("Pianificazione!a1:a300"),0)),"hh:mm"),"")&amp;"-"&amp;IFERROR(TEXT(INDEX(INDIRECT("Pianificazione!f1:f300"),MATCH($A20&amp;D$1,INDIRECT("Pianificazione!c1:c300")&amp;INDIRECT("Pianificazione!a1:a300"),0)),"hh:mm"),""))</f>
        <v>Riposo</v>
      </c>
      <c r="E20" s="14" t="str" cm="1">
        <f t="array" aca="1" ref="E20" ca="1">+IF(IFERROR(TEXT(INDEX(INDIRECT("Pianificazione!e1:e300"),MATCH($A20&amp;E$1,INDIRECT("Pianificazione!c1:c300")&amp;INDIRECT("Pianificazione!a1:a300"),0)),"hh:mm"),"")&amp;"-"&amp;IFERROR(TEXT(INDEX(INDIRECT("Pianificazione!f1:f300"),MATCH($A20&amp;E$1,INDIRECT("Pianificazione!c1:c300")&amp;INDIRECT("Pianificazione!a1:a300"),0)),"hh:mm"),"")="-","Riposo",IFERROR(TEXT(INDEX(INDIRECT("Pianificazione!e1:e300"),MATCH($A20&amp;E$1,INDIRECT("Pianificazione!c1:c300")&amp;INDIRECT("Pianificazione!a1:a300"),0)),"hh:mm"),"")&amp;"-"&amp;IFERROR(TEXT(INDEX(INDIRECT("Pianificazione!f1:f300"),MATCH($A20&amp;E$1,INDIRECT("Pianificazione!c1:c300")&amp;INDIRECT("Pianificazione!a1:a300"),0)),"hh:mm"),""))</f>
        <v>Riposo</v>
      </c>
      <c r="F20" s="14" t="str" cm="1">
        <f t="array" aca="1" ref="F20" ca="1">+IF(IFERROR(TEXT(INDEX(INDIRECT("Pianificazione!e1:e300"),MATCH($A20&amp;F$1,INDIRECT("Pianificazione!c1:c300")&amp;INDIRECT("Pianificazione!a1:a300"),0)),"hh:mm"),"")&amp;"-"&amp;IFERROR(TEXT(INDEX(INDIRECT("Pianificazione!f1:f300"),MATCH($A20&amp;F$1,INDIRECT("Pianificazione!c1:c300")&amp;INDIRECT("Pianificazione!a1:a300"),0)),"hh:mm"),"")="-","Riposo",IFERROR(TEXT(INDEX(INDIRECT("Pianificazione!e1:e300"),MATCH($A20&amp;F$1,INDIRECT("Pianificazione!c1:c300")&amp;INDIRECT("Pianificazione!a1:a300"),0)),"hh:mm"),"")&amp;"-"&amp;IFERROR(TEXT(INDEX(INDIRECT("Pianificazione!f1:f300"),MATCH($A20&amp;F$1,INDIRECT("Pianificazione!c1:c300")&amp;INDIRECT("Pianificazione!a1:a300"),0)),"hh:mm"),""))</f>
        <v>Riposo</v>
      </c>
      <c r="G20" s="14" t="str" cm="1">
        <f t="array" aca="1" ref="G20" ca="1">+IF(IFERROR(TEXT(INDEX(INDIRECT("Pianificazione!e1:e300"),MATCH($A20&amp;G$1,INDIRECT("Pianificazione!c1:c300")&amp;INDIRECT("Pianificazione!a1:a300"),0)),"hh:mm"),"")&amp;"-"&amp;IFERROR(TEXT(INDEX(INDIRECT("Pianificazione!f1:f300"),MATCH($A20&amp;G$1,INDIRECT("Pianificazione!c1:c300")&amp;INDIRECT("Pianificazione!a1:a300"),0)),"hh:mm"),"")="-","Riposo",IFERROR(TEXT(INDEX(INDIRECT("Pianificazione!e1:e300"),MATCH($A20&amp;G$1,INDIRECT("Pianificazione!c1:c300")&amp;INDIRECT("Pianificazione!a1:a300"),0)),"hh:mm"),"")&amp;"-"&amp;IFERROR(TEXT(INDEX(INDIRECT("Pianificazione!f1:f300"),MATCH($A20&amp;G$1,INDIRECT("Pianificazione!c1:c300")&amp;INDIRECT("Pianificazione!a1:a300"),0)),"hh:mm"),""))</f>
        <v>Riposo</v>
      </c>
      <c r="H20" s="14" t="str" cm="1">
        <f t="array" aca="1" ref="H20" ca="1">+IF(IFERROR(TEXT(INDEX(INDIRECT("Pianificazione!e1:e300"),MATCH($A20&amp;H$1,INDIRECT("Pianificazione!c1:c300")&amp;INDIRECT("Pianificazione!a1:a300"),0)),"hh:mm"),"")&amp;"-"&amp;IFERROR(TEXT(INDEX(INDIRECT("Pianificazione!f1:f300"),MATCH($A20&amp;H$1,INDIRECT("Pianificazione!c1:c300")&amp;INDIRECT("Pianificazione!a1:a300"),0)),"hh:mm"),"")="-","Riposo",IFERROR(TEXT(INDEX(INDIRECT("Pianificazione!e1:e300"),MATCH($A20&amp;H$1,INDIRECT("Pianificazione!c1:c300")&amp;INDIRECT("Pianificazione!a1:a300"),0)),"hh:mm"),"")&amp;"-"&amp;IFERROR(TEXT(INDEX(INDIRECT("Pianificazione!f1:f300"),MATCH($A20&amp;H$1,INDIRECT("Pianificazione!c1:c300")&amp;INDIRECT("Pianificazione!a1:a300"),0)),"hh:mm"),""))</f>
        <v>Riposo</v>
      </c>
      <c r="J20" s="3">
        <v>1</v>
      </c>
    </row>
    <row r="21" spans="1:10">
      <c r="A21" t="str">
        <f>+Risorse!B18</f>
        <v>Condello Danilo</v>
      </c>
      <c r="B21" s="14" t="str" cm="1">
        <f t="array" aca="1" ref="B21" ca="1">+IF(IFERROR(TEXT(INDEX(INDIRECT("Pianificazione!e1:e300"),MATCH($A21&amp;B$1,INDIRECT("Pianificazione!c1:c300")&amp;INDIRECT("Pianificazione!a1:a300"),0)),"hh:mm"),"")&amp;"-"&amp;IFERROR(TEXT(INDEX(INDIRECT("Pianificazione!f1:f300"),MATCH($A21&amp;B$1,INDIRECT("Pianificazione!c1:c300")&amp;INDIRECT("Pianificazione!a1:a300"),0)),"hh:mm"),"")="-","Riposo",IFERROR(TEXT(INDEX(INDIRECT("Pianificazione!e1:e300"),MATCH($A21&amp;B$1,INDIRECT("Pianificazione!c1:c300")&amp;INDIRECT("Pianificazione!a1:a300"),0)),"hh:mm"),"")&amp;"-"&amp;IFERROR(TEXT(INDEX(INDIRECT("Pianificazione!f1:f300"),MATCH($A21&amp;B$1,INDIRECT("Pianificazione!c1:c300")&amp;INDIRECT("Pianificazione!a1:a300"),0)),"hh:mm"),""))</f>
        <v>Riposo</v>
      </c>
      <c r="C21" s="14" t="str" cm="1">
        <f t="array" aca="1" ref="C21" ca="1">+IF(IFERROR(TEXT(INDEX(INDIRECT("Pianificazione!e1:e300"),MATCH($A21&amp;C$1,INDIRECT("Pianificazione!c1:c300")&amp;INDIRECT("Pianificazione!a1:a300"),0)),"hh:mm"),"")&amp;"-"&amp;IFERROR(TEXT(INDEX(INDIRECT("Pianificazione!f1:f300"),MATCH($A21&amp;C$1,INDIRECT("Pianificazione!c1:c300")&amp;INDIRECT("Pianificazione!a1:a300"),0)),"hh:mm"),"")="-","Riposo",IFERROR(TEXT(INDEX(INDIRECT("Pianificazione!e1:e300"),MATCH($A21&amp;C$1,INDIRECT("Pianificazione!c1:c300")&amp;INDIRECT("Pianificazione!a1:a300"),0)),"hh:mm"),"")&amp;"-"&amp;IFERROR(TEXT(INDEX(INDIRECT("Pianificazione!f1:f300"),MATCH($A21&amp;C$1,INDIRECT("Pianificazione!c1:c300")&amp;INDIRECT("Pianificazione!a1:a300"),0)),"hh:mm"),""))</f>
        <v>Riposo</v>
      </c>
      <c r="D21" s="14" t="str" cm="1">
        <f t="array" aca="1" ref="D21" ca="1">+IF(IFERROR(TEXT(INDEX(INDIRECT("Pianificazione!e1:e300"),MATCH($A21&amp;D$1,INDIRECT("Pianificazione!c1:c300")&amp;INDIRECT("Pianificazione!a1:a300"),0)),"hh:mm"),"")&amp;"-"&amp;IFERROR(TEXT(INDEX(INDIRECT("Pianificazione!f1:f300"),MATCH($A21&amp;D$1,INDIRECT("Pianificazione!c1:c300")&amp;INDIRECT("Pianificazione!a1:a300"),0)),"hh:mm"),"")="-","Riposo",IFERROR(TEXT(INDEX(INDIRECT("Pianificazione!e1:e300"),MATCH($A21&amp;D$1,INDIRECT("Pianificazione!c1:c300")&amp;INDIRECT("Pianificazione!a1:a300"),0)),"hh:mm"),"")&amp;"-"&amp;IFERROR(TEXT(INDEX(INDIRECT("Pianificazione!f1:f300"),MATCH($A21&amp;D$1,INDIRECT("Pianificazione!c1:c300")&amp;INDIRECT("Pianificazione!a1:a300"),0)),"hh:mm"),""))</f>
        <v>Riposo</v>
      </c>
      <c r="E21" s="14" t="str" cm="1">
        <f t="array" aca="1" ref="E21" ca="1">+IF(IFERROR(TEXT(INDEX(INDIRECT("Pianificazione!e1:e300"),MATCH($A21&amp;E$1,INDIRECT("Pianificazione!c1:c300")&amp;INDIRECT("Pianificazione!a1:a300"),0)),"hh:mm"),"")&amp;"-"&amp;IFERROR(TEXT(INDEX(INDIRECT("Pianificazione!f1:f300"),MATCH($A21&amp;E$1,INDIRECT("Pianificazione!c1:c300")&amp;INDIRECT("Pianificazione!a1:a300"),0)),"hh:mm"),"")="-","Riposo",IFERROR(TEXT(INDEX(INDIRECT("Pianificazione!e1:e300"),MATCH($A21&amp;E$1,INDIRECT("Pianificazione!c1:c300")&amp;INDIRECT("Pianificazione!a1:a300"),0)),"hh:mm"),"")&amp;"-"&amp;IFERROR(TEXT(INDEX(INDIRECT("Pianificazione!f1:f300"),MATCH($A21&amp;E$1,INDIRECT("Pianificazione!c1:c300")&amp;INDIRECT("Pianificazione!a1:a300"),0)),"hh:mm"),""))</f>
        <v>Riposo</v>
      </c>
      <c r="F21" s="14" t="str" cm="1">
        <f t="array" aca="1" ref="F21" ca="1">+IF(IFERROR(TEXT(INDEX(INDIRECT("Pianificazione!e1:e300"),MATCH($A21&amp;F$1,INDIRECT("Pianificazione!c1:c300")&amp;INDIRECT("Pianificazione!a1:a300"),0)),"hh:mm"),"")&amp;"-"&amp;IFERROR(TEXT(INDEX(INDIRECT("Pianificazione!f1:f300"),MATCH($A21&amp;F$1,INDIRECT("Pianificazione!c1:c300")&amp;INDIRECT("Pianificazione!a1:a300"),0)),"hh:mm"),"")="-","Riposo",IFERROR(TEXT(INDEX(INDIRECT("Pianificazione!e1:e300"),MATCH($A21&amp;F$1,INDIRECT("Pianificazione!c1:c300")&amp;INDIRECT("Pianificazione!a1:a300"),0)),"hh:mm"),"")&amp;"-"&amp;IFERROR(TEXT(INDEX(INDIRECT("Pianificazione!f1:f300"),MATCH($A21&amp;F$1,INDIRECT("Pianificazione!c1:c300")&amp;INDIRECT("Pianificazione!a1:a300"),0)),"hh:mm"),""))</f>
        <v>Riposo</v>
      </c>
      <c r="G21" s="14" t="str" cm="1">
        <f t="array" aca="1" ref="G21" ca="1">+IF(IFERROR(TEXT(INDEX(INDIRECT("Pianificazione!e1:e300"),MATCH($A21&amp;G$1,INDIRECT("Pianificazione!c1:c300")&amp;INDIRECT("Pianificazione!a1:a300"),0)),"hh:mm"),"")&amp;"-"&amp;IFERROR(TEXT(INDEX(INDIRECT("Pianificazione!f1:f300"),MATCH($A21&amp;G$1,INDIRECT("Pianificazione!c1:c300")&amp;INDIRECT("Pianificazione!a1:a300"),0)),"hh:mm"),"")="-","Riposo",IFERROR(TEXT(INDEX(INDIRECT("Pianificazione!e1:e300"),MATCH($A21&amp;G$1,INDIRECT("Pianificazione!c1:c300")&amp;INDIRECT("Pianificazione!a1:a300"),0)),"hh:mm"),"")&amp;"-"&amp;IFERROR(TEXT(INDEX(INDIRECT("Pianificazione!f1:f300"),MATCH($A21&amp;G$1,INDIRECT("Pianificazione!c1:c300")&amp;INDIRECT("Pianificazione!a1:a300"),0)),"hh:mm"),""))</f>
        <v>Riposo</v>
      </c>
      <c r="H21" s="14" t="str" cm="1">
        <f t="array" aca="1" ref="H21" ca="1">+IF(IFERROR(TEXT(INDEX(INDIRECT("Pianificazione!e1:e300"),MATCH($A21&amp;H$1,INDIRECT("Pianificazione!c1:c300")&amp;INDIRECT("Pianificazione!a1:a300"),0)),"hh:mm"),"")&amp;"-"&amp;IFERROR(TEXT(INDEX(INDIRECT("Pianificazione!f1:f300"),MATCH($A21&amp;H$1,INDIRECT("Pianificazione!c1:c300")&amp;INDIRECT("Pianificazione!a1:a300"),0)),"hh:mm"),"")="-","Riposo",IFERROR(TEXT(INDEX(INDIRECT("Pianificazione!e1:e300"),MATCH($A21&amp;H$1,INDIRECT("Pianificazione!c1:c300")&amp;INDIRECT("Pianificazione!a1:a300"),0)),"hh:mm"),"")&amp;"-"&amp;IFERROR(TEXT(INDEX(INDIRECT("Pianificazione!f1:f300"),MATCH($A21&amp;H$1,INDIRECT("Pianificazione!c1:c300")&amp;INDIRECT("Pianificazione!a1:a300"),0)),"hh:mm"),""))</f>
        <v>Riposo</v>
      </c>
      <c r="J21" s="3">
        <v>1</v>
      </c>
    </row>
    <row r="22" spans="1:10">
      <c r="A22" t="str">
        <f>+Risorse!B19</f>
        <v>D'alessandro Giovanni</v>
      </c>
      <c r="B22" s="14" t="str" cm="1">
        <f t="array" aca="1" ref="B22" ca="1">+IF(IFERROR(TEXT(INDEX(INDIRECT("Pianificazione!e1:e300"),MATCH($A22&amp;B$1,INDIRECT("Pianificazione!c1:c300")&amp;INDIRECT("Pianificazione!a1:a300"),0)),"hh:mm"),"")&amp;"-"&amp;IFERROR(TEXT(INDEX(INDIRECT("Pianificazione!f1:f300"),MATCH($A22&amp;B$1,INDIRECT("Pianificazione!c1:c300")&amp;INDIRECT("Pianificazione!a1:a300"),0)),"hh:mm"),"")="-","Riposo",IFERROR(TEXT(INDEX(INDIRECT("Pianificazione!e1:e300"),MATCH($A22&amp;B$1,INDIRECT("Pianificazione!c1:c300")&amp;INDIRECT("Pianificazione!a1:a300"),0)),"hh:mm"),"")&amp;"-"&amp;IFERROR(TEXT(INDEX(INDIRECT("Pianificazione!f1:f300"),MATCH($A22&amp;B$1,INDIRECT("Pianificazione!c1:c300")&amp;INDIRECT("Pianificazione!a1:a300"),0)),"hh:mm"),""))</f>
        <v>Riposo</v>
      </c>
      <c r="C22" s="14" t="str" cm="1">
        <f t="array" aca="1" ref="C22" ca="1">+IF(IFERROR(TEXT(INDEX(INDIRECT("Pianificazione!e1:e300"),MATCH($A22&amp;C$1,INDIRECT("Pianificazione!c1:c300")&amp;INDIRECT("Pianificazione!a1:a300"),0)),"hh:mm"),"")&amp;"-"&amp;IFERROR(TEXT(INDEX(INDIRECT("Pianificazione!f1:f300"),MATCH($A22&amp;C$1,INDIRECT("Pianificazione!c1:c300")&amp;INDIRECT("Pianificazione!a1:a300"),0)),"hh:mm"),"")="-","Riposo",IFERROR(TEXT(INDEX(INDIRECT("Pianificazione!e1:e300"),MATCH($A22&amp;C$1,INDIRECT("Pianificazione!c1:c300")&amp;INDIRECT("Pianificazione!a1:a300"),0)),"hh:mm"),"")&amp;"-"&amp;IFERROR(TEXT(INDEX(INDIRECT("Pianificazione!f1:f300"),MATCH($A22&amp;C$1,INDIRECT("Pianificazione!c1:c300")&amp;INDIRECT("Pianificazione!a1:a300"),0)),"hh:mm"),""))</f>
        <v>Riposo</v>
      </c>
      <c r="D22" s="14" t="str" cm="1">
        <f t="array" aca="1" ref="D22" ca="1">+IF(IFERROR(TEXT(INDEX(INDIRECT("Pianificazione!e1:e300"),MATCH($A22&amp;D$1,INDIRECT("Pianificazione!c1:c300")&amp;INDIRECT("Pianificazione!a1:a300"),0)),"hh:mm"),"")&amp;"-"&amp;IFERROR(TEXT(INDEX(INDIRECT("Pianificazione!f1:f300"),MATCH($A22&amp;D$1,INDIRECT("Pianificazione!c1:c300")&amp;INDIRECT("Pianificazione!a1:a300"),0)),"hh:mm"),"")="-","Riposo",IFERROR(TEXT(INDEX(INDIRECT("Pianificazione!e1:e300"),MATCH($A22&amp;D$1,INDIRECT("Pianificazione!c1:c300")&amp;INDIRECT("Pianificazione!a1:a300"),0)),"hh:mm"),"")&amp;"-"&amp;IFERROR(TEXT(INDEX(INDIRECT("Pianificazione!f1:f300"),MATCH($A22&amp;D$1,INDIRECT("Pianificazione!c1:c300")&amp;INDIRECT("Pianificazione!a1:a300"),0)),"hh:mm"),""))</f>
        <v>Riposo</v>
      </c>
      <c r="E22" s="14" t="str" cm="1">
        <f t="array" aca="1" ref="E22" ca="1">+IF(IFERROR(TEXT(INDEX(INDIRECT("Pianificazione!e1:e300"),MATCH($A22&amp;E$1,INDIRECT("Pianificazione!c1:c300")&amp;INDIRECT("Pianificazione!a1:a300"),0)),"hh:mm"),"")&amp;"-"&amp;IFERROR(TEXT(INDEX(INDIRECT("Pianificazione!f1:f300"),MATCH($A22&amp;E$1,INDIRECT("Pianificazione!c1:c300")&amp;INDIRECT("Pianificazione!a1:a300"),0)),"hh:mm"),"")="-","Riposo",IFERROR(TEXT(INDEX(INDIRECT("Pianificazione!e1:e300"),MATCH($A22&amp;E$1,INDIRECT("Pianificazione!c1:c300")&amp;INDIRECT("Pianificazione!a1:a300"),0)),"hh:mm"),"")&amp;"-"&amp;IFERROR(TEXT(INDEX(INDIRECT("Pianificazione!f1:f300"),MATCH($A22&amp;E$1,INDIRECT("Pianificazione!c1:c300")&amp;INDIRECT("Pianificazione!a1:a300"),0)),"hh:mm"),""))</f>
        <v>Riposo</v>
      </c>
      <c r="F22" s="14" t="str" cm="1">
        <f t="array" aca="1" ref="F22" ca="1">+IF(IFERROR(TEXT(INDEX(INDIRECT("Pianificazione!e1:e300"),MATCH($A22&amp;F$1,INDIRECT("Pianificazione!c1:c300")&amp;INDIRECT("Pianificazione!a1:a300"),0)),"hh:mm"),"")&amp;"-"&amp;IFERROR(TEXT(INDEX(INDIRECT("Pianificazione!f1:f300"),MATCH($A22&amp;F$1,INDIRECT("Pianificazione!c1:c300")&amp;INDIRECT("Pianificazione!a1:a300"),0)),"hh:mm"),"")="-","Riposo",IFERROR(TEXT(INDEX(INDIRECT("Pianificazione!e1:e300"),MATCH($A22&amp;F$1,INDIRECT("Pianificazione!c1:c300")&amp;INDIRECT("Pianificazione!a1:a300"),0)),"hh:mm"),"")&amp;"-"&amp;IFERROR(TEXT(INDEX(INDIRECT("Pianificazione!f1:f300"),MATCH($A22&amp;F$1,INDIRECT("Pianificazione!c1:c300")&amp;INDIRECT("Pianificazione!a1:a300"),0)),"hh:mm"),""))</f>
        <v>Riposo</v>
      </c>
      <c r="G22" s="14" t="str" cm="1">
        <f t="array" aca="1" ref="G22" ca="1">+IF(IFERROR(TEXT(INDEX(INDIRECT("Pianificazione!e1:e300"),MATCH($A22&amp;G$1,INDIRECT("Pianificazione!c1:c300")&amp;INDIRECT("Pianificazione!a1:a300"),0)),"hh:mm"),"")&amp;"-"&amp;IFERROR(TEXT(INDEX(INDIRECT("Pianificazione!f1:f300"),MATCH($A22&amp;G$1,INDIRECT("Pianificazione!c1:c300")&amp;INDIRECT("Pianificazione!a1:a300"),0)),"hh:mm"),"")="-","Riposo",IFERROR(TEXT(INDEX(INDIRECT("Pianificazione!e1:e300"),MATCH($A22&amp;G$1,INDIRECT("Pianificazione!c1:c300")&amp;INDIRECT("Pianificazione!a1:a300"),0)),"hh:mm"),"")&amp;"-"&amp;IFERROR(TEXT(INDEX(INDIRECT("Pianificazione!f1:f300"),MATCH($A22&amp;G$1,INDIRECT("Pianificazione!c1:c300")&amp;INDIRECT("Pianificazione!a1:a300"),0)),"hh:mm"),""))</f>
        <v>Riposo</v>
      </c>
      <c r="H22" s="14" t="str" cm="1">
        <f t="array" aca="1" ref="H22" ca="1">+IF(IFERROR(TEXT(INDEX(INDIRECT("Pianificazione!e1:e300"),MATCH($A22&amp;H$1,INDIRECT("Pianificazione!c1:c300")&amp;INDIRECT("Pianificazione!a1:a300"),0)),"hh:mm"),"")&amp;"-"&amp;IFERROR(TEXT(INDEX(INDIRECT("Pianificazione!f1:f300"),MATCH($A22&amp;H$1,INDIRECT("Pianificazione!c1:c300")&amp;INDIRECT("Pianificazione!a1:a300"),0)),"hh:mm"),"")="-","Riposo",IFERROR(TEXT(INDEX(INDIRECT("Pianificazione!e1:e300"),MATCH($A22&amp;H$1,INDIRECT("Pianificazione!c1:c300")&amp;INDIRECT("Pianificazione!a1:a300"),0)),"hh:mm"),"")&amp;"-"&amp;IFERROR(TEXT(INDEX(INDIRECT("Pianificazione!f1:f300"),MATCH($A22&amp;H$1,INDIRECT("Pianificazione!c1:c300")&amp;INDIRECT("Pianificazione!a1:a300"),0)),"hh:mm"),""))</f>
        <v>Riposo</v>
      </c>
      <c r="J22" s="3">
        <v>1</v>
      </c>
    </row>
    <row r="23" spans="1:10">
      <c r="A23" t="str">
        <f>+Risorse!B20</f>
        <v>Lisciandrello Ignazio</v>
      </c>
      <c r="B23" s="14" t="str" cm="1">
        <f t="array" aca="1" ref="B23" ca="1">+IF(IFERROR(TEXT(INDEX(INDIRECT("Pianificazione!e1:e300"),MATCH($A23&amp;B$1,INDIRECT("Pianificazione!c1:c300")&amp;INDIRECT("Pianificazione!a1:a300"),0)),"hh:mm"),"")&amp;"-"&amp;IFERROR(TEXT(INDEX(INDIRECT("Pianificazione!f1:f300"),MATCH($A23&amp;B$1,INDIRECT("Pianificazione!c1:c300")&amp;INDIRECT("Pianificazione!a1:a300"),0)),"hh:mm"),"")="-","Riposo",IFERROR(TEXT(INDEX(INDIRECT("Pianificazione!e1:e300"),MATCH($A23&amp;B$1,INDIRECT("Pianificazione!c1:c300")&amp;INDIRECT("Pianificazione!a1:a300"),0)),"hh:mm"),"")&amp;"-"&amp;IFERROR(TEXT(INDEX(INDIRECT("Pianificazione!f1:f300"),MATCH($A23&amp;B$1,INDIRECT("Pianificazione!c1:c300")&amp;INDIRECT("Pianificazione!a1:a300"),0)),"hh:mm"),""))</f>
        <v>Riposo</v>
      </c>
      <c r="C23" s="14" t="str" cm="1">
        <f t="array" aca="1" ref="C23" ca="1">+IF(IFERROR(TEXT(INDEX(INDIRECT("Pianificazione!e1:e300"),MATCH($A23&amp;C$1,INDIRECT("Pianificazione!c1:c300")&amp;INDIRECT("Pianificazione!a1:a300"),0)),"hh:mm"),"")&amp;"-"&amp;IFERROR(TEXT(INDEX(INDIRECT("Pianificazione!f1:f300"),MATCH($A23&amp;C$1,INDIRECT("Pianificazione!c1:c300")&amp;INDIRECT("Pianificazione!a1:a300"),0)),"hh:mm"),"")="-","Riposo",IFERROR(TEXT(INDEX(INDIRECT("Pianificazione!e1:e300"),MATCH($A23&amp;C$1,INDIRECT("Pianificazione!c1:c300")&amp;INDIRECT("Pianificazione!a1:a300"),0)),"hh:mm"),"")&amp;"-"&amp;IFERROR(TEXT(INDEX(INDIRECT("Pianificazione!f1:f300"),MATCH($A23&amp;C$1,INDIRECT("Pianificazione!c1:c300")&amp;INDIRECT("Pianificazione!a1:a300"),0)),"hh:mm"),""))</f>
        <v>Riposo</v>
      </c>
      <c r="D23" s="14" t="str" cm="1">
        <f t="array" aca="1" ref="D23" ca="1">+IF(IFERROR(TEXT(INDEX(INDIRECT("Pianificazione!e1:e300"),MATCH($A23&amp;D$1,INDIRECT("Pianificazione!c1:c300")&amp;INDIRECT("Pianificazione!a1:a300"),0)),"hh:mm"),"")&amp;"-"&amp;IFERROR(TEXT(INDEX(INDIRECT("Pianificazione!f1:f300"),MATCH($A23&amp;D$1,INDIRECT("Pianificazione!c1:c300")&amp;INDIRECT("Pianificazione!a1:a300"),0)),"hh:mm"),"")="-","Riposo",IFERROR(TEXT(INDEX(INDIRECT("Pianificazione!e1:e300"),MATCH($A23&amp;D$1,INDIRECT("Pianificazione!c1:c300")&amp;INDIRECT("Pianificazione!a1:a300"),0)),"hh:mm"),"")&amp;"-"&amp;IFERROR(TEXT(INDEX(INDIRECT("Pianificazione!f1:f300"),MATCH($A23&amp;D$1,INDIRECT("Pianificazione!c1:c300")&amp;INDIRECT("Pianificazione!a1:a300"),0)),"hh:mm"),""))</f>
        <v>Riposo</v>
      </c>
      <c r="E23" s="14" t="str" cm="1">
        <f t="array" aca="1" ref="E23" ca="1">+IF(IFERROR(TEXT(INDEX(INDIRECT("Pianificazione!e1:e300"),MATCH($A23&amp;E$1,INDIRECT("Pianificazione!c1:c300")&amp;INDIRECT("Pianificazione!a1:a300"),0)),"hh:mm"),"")&amp;"-"&amp;IFERROR(TEXT(INDEX(INDIRECT("Pianificazione!f1:f300"),MATCH($A23&amp;E$1,INDIRECT("Pianificazione!c1:c300")&amp;INDIRECT("Pianificazione!a1:a300"),0)),"hh:mm"),"")="-","Riposo",IFERROR(TEXT(INDEX(INDIRECT("Pianificazione!e1:e300"),MATCH($A23&amp;E$1,INDIRECT("Pianificazione!c1:c300")&amp;INDIRECT("Pianificazione!a1:a300"),0)),"hh:mm"),"")&amp;"-"&amp;IFERROR(TEXT(INDEX(INDIRECT("Pianificazione!f1:f300"),MATCH($A23&amp;E$1,INDIRECT("Pianificazione!c1:c300")&amp;INDIRECT("Pianificazione!a1:a300"),0)),"hh:mm"),""))</f>
        <v>Riposo</v>
      </c>
      <c r="F23" s="14" t="str" cm="1">
        <f t="array" aca="1" ref="F23" ca="1">+IF(IFERROR(TEXT(INDEX(INDIRECT("Pianificazione!e1:e300"),MATCH($A23&amp;F$1,INDIRECT("Pianificazione!c1:c300")&amp;INDIRECT("Pianificazione!a1:a300"),0)),"hh:mm"),"")&amp;"-"&amp;IFERROR(TEXT(INDEX(INDIRECT("Pianificazione!f1:f300"),MATCH($A23&amp;F$1,INDIRECT("Pianificazione!c1:c300")&amp;INDIRECT("Pianificazione!a1:a300"),0)),"hh:mm"),"")="-","Riposo",IFERROR(TEXT(INDEX(INDIRECT("Pianificazione!e1:e300"),MATCH($A23&amp;F$1,INDIRECT("Pianificazione!c1:c300")&amp;INDIRECT("Pianificazione!a1:a300"),0)),"hh:mm"),"")&amp;"-"&amp;IFERROR(TEXT(INDEX(INDIRECT("Pianificazione!f1:f300"),MATCH($A23&amp;F$1,INDIRECT("Pianificazione!c1:c300")&amp;INDIRECT("Pianificazione!a1:a300"),0)),"hh:mm"),""))</f>
        <v>Riposo</v>
      </c>
      <c r="G23" s="14" t="str" cm="1">
        <f t="array" aca="1" ref="G23" ca="1">+IF(IFERROR(TEXT(INDEX(INDIRECT("Pianificazione!e1:e300"),MATCH($A23&amp;G$1,INDIRECT("Pianificazione!c1:c300")&amp;INDIRECT("Pianificazione!a1:a300"),0)),"hh:mm"),"")&amp;"-"&amp;IFERROR(TEXT(INDEX(INDIRECT("Pianificazione!f1:f300"),MATCH($A23&amp;G$1,INDIRECT("Pianificazione!c1:c300")&amp;INDIRECT("Pianificazione!a1:a300"),0)),"hh:mm"),"")="-","Riposo",IFERROR(TEXT(INDEX(INDIRECT("Pianificazione!e1:e300"),MATCH($A23&amp;G$1,INDIRECT("Pianificazione!c1:c300")&amp;INDIRECT("Pianificazione!a1:a300"),0)),"hh:mm"),"")&amp;"-"&amp;IFERROR(TEXT(INDEX(INDIRECT("Pianificazione!f1:f300"),MATCH($A23&amp;G$1,INDIRECT("Pianificazione!c1:c300")&amp;INDIRECT("Pianificazione!a1:a300"),0)),"hh:mm"),""))</f>
        <v>Riposo</v>
      </c>
      <c r="H23" s="14" t="str" cm="1">
        <f t="array" aca="1" ref="H23" ca="1">+IF(IFERROR(TEXT(INDEX(INDIRECT("Pianificazione!e1:e300"),MATCH($A23&amp;H$1,INDIRECT("Pianificazione!c1:c300")&amp;INDIRECT("Pianificazione!a1:a300"),0)),"hh:mm"),"")&amp;"-"&amp;IFERROR(TEXT(INDEX(INDIRECT("Pianificazione!f1:f300"),MATCH($A23&amp;H$1,INDIRECT("Pianificazione!c1:c300")&amp;INDIRECT("Pianificazione!a1:a300"),0)),"hh:mm"),"")="-","Riposo",IFERROR(TEXT(INDEX(INDIRECT("Pianificazione!e1:e300"),MATCH($A23&amp;H$1,INDIRECT("Pianificazione!c1:c300")&amp;INDIRECT("Pianificazione!a1:a300"),0)),"hh:mm"),"")&amp;"-"&amp;IFERROR(TEXT(INDEX(INDIRECT("Pianificazione!f1:f300"),MATCH($A23&amp;H$1,INDIRECT("Pianificazione!c1:c300")&amp;INDIRECT("Pianificazione!a1:a300"),0)),"hh:mm"),""))</f>
        <v>Riposo</v>
      </c>
      <c r="J23" s="3">
        <v>1</v>
      </c>
    </row>
    <row r="24" spans="1:10">
      <c r="A24" t="str">
        <f>+Risorse!B21</f>
        <v>Arnone Carmelina</v>
      </c>
      <c r="B24" s="14" t="str" cm="1">
        <f t="array" aca="1" ref="B24" ca="1">+IF(IFERROR(TEXT(INDEX(INDIRECT("Pianificazione!e1:e300"),MATCH($A24&amp;B$1,INDIRECT("Pianificazione!c1:c300")&amp;INDIRECT("Pianificazione!a1:a300"),0)),"hh:mm"),"")&amp;"-"&amp;IFERROR(TEXT(INDEX(INDIRECT("Pianificazione!f1:f300"),MATCH($A24&amp;B$1,INDIRECT("Pianificazione!c1:c300")&amp;INDIRECT("Pianificazione!a1:a300"),0)),"hh:mm"),"")="-","Riposo",IFERROR(TEXT(INDEX(INDIRECT("Pianificazione!e1:e300"),MATCH($A24&amp;B$1,INDIRECT("Pianificazione!c1:c300")&amp;INDIRECT("Pianificazione!a1:a300"),0)),"hh:mm"),"")&amp;"-"&amp;IFERROR(TEXT(INDEX(INDIRECT("Pianificazione!f1:f300"),MATCH($A24&amp;B$1,INDIRECT("Pianificazione!c1:c300")&amp;INDIRECT("Pianificazione!a1:a300"),0)),"hh:mm"),""))</f>
        <v>Riposo</v>
      </c>
      <c r="C24" s="14" t="str" cm="1">
        <f t="array" aca="1" ref="C24" ca="1">+IF(IFERROR(TEXT(INDEX(INDIRECT("Pianificazione!e1:e300"),MATCH($A24&amp;C$1,INDIRECT("Pianificazione!c1:c300")&amp;INDIRECT("Pianificazione!a1:a300"),0)),"hh:mm"),"")&amp;"-"&amp;IFERROR(TEXT(INDEX(INDIRECT("Pianificazione!f1:f300"),MATCH($A24&amp;C$1,INDIRECT("Pianificazione!c1:c300")&amp;INDIRECT("Pianificazione!a1:a300"),0)),"hh:mm"),"")="-","Riposo",IFERROR(TEXT(INDEX(INDIRECT("Pianificazione!e1:e300"),MATCH($A24&amp;C$1,INDIRECT("Pianificazione!c1:c300")&amp;INDIRECT("Pianificazione!a1:a300"),0)),"hh:mm"),"")&amp;"-"&amp;IFERROR(TEXT(INDEX(INDIRECT("Pianificazione!f1:f300"),MATCH($A24&amp;C$1,INDIRECT("Pianificazione!c1:c300")&amp;INDIRECT("Pianificazione!a1:a300"),0)),"hh:mm"),""))</f>
        <v>Riposo</v>
      </c>
      <c r="D24" s="14" t="str" cm="1">
        <f t="array" aca="1" ref="D24" ca="1">+IF(IFERROR(TEXT(INDEX(INDIRECT("Pianificazione!e1:e300"),MATCH($A24&amp;D$1,INDIRECT("Pianificazione!c1:c300")&amp;INDIRECT("Pianificazione!a1:a300"),0)),"hh:mm"),"")&amp;"-"&amp;IFERROR(TEXT(INDEX(INDIRECT("Pianificazione!f1:f300"),MATCH($A24&amp;D$1,INDIRECT("Pianificazione!c1:c300")&amp;INDIRECT("Pianificazione!a1:a300"),0)),"hh:mm"),"")="-","Riposo",IFERROR(TEXT(INDEX(INDIRECT("Pianificazione!e1:e300"),MATCH($A24&amp;D$1,INDIRECT("Pianificazione!c1:c300")&amp;INDIRECT("Pianificazione!a1:a300"),0)),"hh:mm"),"")&amp;"-"&amp;IFERROR(TEXT(INDEX(INDIRECT("Pianificazione!f1:f300"),MATCH($A24&amp;D$1,INDIRECT("Pianificazione!c1:c300")&amp;INDIRECT("Pianificazione!a1:a300"),0)),"hh:mm"),""))</f>
        <v>Riposo</v>
      </c>
      <c r="E24" s="14" t="str" cm="1">
        <f t="array" aca="1" ref="E24" ca="1">+IF(IFERROR(TEXT(INDEX(INDIRECT("Pianificazione!e1:e300"),MATCH($A24&amp;E$1,INDIRECT("Pianificazione!c1:c300")&amp;INDIRECT("Pianificazione!a1:a300"),0)),"hh:mm"),"")&amp;"-"&amp;IFERROR(TEXT(INDEX(INDIRECT("Pianificazione!f1:f300"),MATCH($A24&amp;E$1,INDIRECT("Pianificazione!c1:c300")&amp;INDIRECT("Pianificazione!a1:a300"),0)),"hh:mm"),"")="-","Riposo",IFERROR(TEXT(INDEX(INDIRECT("Pianificazione!e1:e300"),MATCH($A24&amp;E$1,INDIRECT("Pianificazione!c1:c300")&amp;INDIRECT("Pianificazione!a1:a300"),0)),"hh:mm"),"")&amp;"-"&amp;IFERROR(TEXT(INDEX(INDIRECT("Pianificazione!f1:f300"),MATCH($A24&amp;E$1,INDIRECT("Pianificazione!c1:c300")&amp;INDIRECT("Pianificazione!a1:a300"),0)),"hh:mm"),""))</f>
        <v>Riposo</v>
      </c>
      <c r="F24" s="14" t="str" cm="1">
        <f t="array" aca="1" ref="F24" ca="1">+IF(IFERROR(TEXT(INDEX(INDIRECT("Pianificazione!e1:e300"),MATCH($A24&amp;F$1,INDIRECT("Pianificazione!c1:c300")&amp;INDIRECT("Pianificazione!a1:a300"),0)),"hh:mm"),"")&amp;"-"&amp;IFERROR(TEXT(INDEX(INDIRECT("Pianificazione!f1:f300"),MATCH($A24&amp;F$1,INDIRECT("Pianificazione!c1:c300")&amp;INDIRECT("Pianificazione!a1:a300"),0)),"hh:mm"),"")="-","Riposo",IFERROR(TEXT(INDEX(INDIRECT("Pianificazione!e1:e300"),MATCH($A24&amp;F$1,INDIRECT("Pianificazione!c1:c300")&amp;INDIRECT("Pianificazione!a1:a300"),0)),"hh:mm"),"")&amp;"-"&amp;IFERROR(TEXT(INDEX(INDIRECT("Pianificazione!f1:f300"),MATCH($A24&amp;F$1,INDIRECT("Pianificazione!c1:c300")&amp;INDIRECT("Pianificazione!a1:a300"),0)),"hh:mm"),""))</f>
        <v>Riposo</v>
      </c>
      <c r="G24" s="14" t="str" cm="1">
        <f t="array" aca="1" ref="G24" ca="1">+IF(IFERROR(TEXT(INDEX(INDIRECT("Pianificazione!e1:e300"),MATCH($A24&amp;G$1,INDIRECT("Pianificazione!c1:c300")&amp;INDIRECT("Pianificazione!a1:a300"),0)),"hh:mm"),"")&amp;"-"&amp;IFERROR(TEXT(INDEX(INDIRECT("Pianificazione!f1:f300"),MATCH($A24&amp;G$1,INDIRECT("Pianificazione!c1:c300")&amp;INDIRECT("Pianificazione!a1:a300"),0)),"hh:mm"),"")="-","Riposo",IFERROR(TEXT(INDEX(INDIRECT("Pianificazione!e1:e300"),MATCH($A24&amp;G$1,INDIRECT("Pianificazione!c1:c300")&amp;INDIRECT("Pianificazione!a1:a300"),0)),"hh:mm"),"")&amp;"-"&amp;IFERROR(TEXT(INDEX(INDIRECT("Pianificazione!f1:f300"),MATCH($A24&amp;G$1,INDIRECT("Pianificazione!c1:c300")&amp;INDIRECT("Pianificazione!a1:a300"),0)),"hh:mm"),""))</f>
        <v>Riposo</v>
      </c>
      <c r="H24" s="14" t="str" cm="1">
        <f t="array" aca="1" ref="H24" ca="1">+IF(IFERROR(TEXT(INDEX(INDIRECT("Pianificazione!e1:e300"),MATCH($A24&amp;H$1,INDIRECT("Pianificazione!c1:c300")&amp;INDIRECT("Pianificazione!a1:a300"),0)),"hh:mm"),"")&amp;"-"&amp;IFERROR(TEXT(INDEX(INDIRECT("Pianificazione!f1:f300"),MATCH($A24&amp;H$1,INDIRECT("Pianificazione!c1:c300")&amp;INDIRECT("Pianificazione!a1:a300"),0)),"hh:mm"),"")="-","Riposo",IFERROR(TEXT(INDEX(INDIRECT("Pianificazione!e1:e300"),MATCH($A24&amp;H$1,INDIRECT("Pianificazione!c1:c300")&amp;INDIRECT("Pianificazione!a1:a300"),0)),"hh:mm"),"")&amp;"-"&amp;IFERROR(TEXT(INDEX(INDIRECT("Pianificazione!f1:f300"),MATCH($A24&amp;H$1,INDIRECT("Pianificazione!c1:c300")&amp;INDIRECT("Pianificazione!a1:a300"),0)),"hh:mm"),""))</f>
        <v>Riposo</v>
      </c>
      <c r="J24" s="3">
        <v>1</v>
      </c>
    </row>
    <row r="25" spans="1:10">
      <c r="A25" t="str">
        <f>+Risorse!B22</f>
        <v>Busalacchi Fortunata</v>
      </c>
      <c r="B25" s="14" t="str" cm="1">
        <f t="array" aca="1" ref="B25" ca="1">+IF(IFERROR(TEXT(INDEX(INDIRECT("Pianificazione!e1:e300"),MATCH($A25&amp;B$1,INDIRECT("Pianificazione!c1:c300")&amp;INDIRECT("Pianificazione!a1:a300"),0)),"hh:mm"),"")&amp;"-"&amp;IFERROR(TEXT(INDEX(INDIRECT("Pianificazione!f1:f300"),MATCH($A25&amp;B$1,INDIRECT("Pianificazione!c1:c300")&amp;INDIRECT("Pianificazione!a1:a300"),0)),"hh:mm"),"")="-","Riposo",IFERROR(TEXT(INDEX(INDIRECT("Pianificazione!e1:e300"),MATCH($A25&amp;B$1,INDIRECT("Pianificazione!c1:c300")&amp;INDIRECT("Pianificazione!a1:a300"),0)),"hh:mm"),"")&amp;"-"&amp;IFERROR(TEXT(INDEX(INDIRECT("Pianificazione!f1:f300"),MATCH($A25&amp;B$1,INDIRECT("Pianificazione!c1:c300")&amp;INDIRECT("Pianificazione!a1:a300"),0)),"hh:mm"),""))</f>
        <v>Riposo</v>
      </c>
      <c r="C25" s="14" t="str" cm="1">
        <f t="array" aca="1" ref="C25" ca="1">+IF(IFERROR(TEXT(INDEX(INDIRECT("Pianificazione!e1:e300"),MATCH($A25&amp;C$1,INDIRECT("Pianificazione!c1:c300")&amp;INDIRECT("Pianificazione!a1:a300"),0)),"hh:mm"),"")&amp;"-"&amp;IFERROR(TEXT(INDEX(INDIRECT("Pianificazione!f1:f300"),MATCH($A25&amp;C$1,INDIRECT("Pianificazione!c1:c300")&amp;INDIRECT("Pianificazione!a1:a300"),0)),"hh:mm"),"")="-","Riposo",IFERROR(TEXT(INDEX(INDIRECT("Pianificazione!e1:e300"),MATCH($A25&amp;C$1,INDIRECT("Pianificazione!c1:c300")&amp;INDIRECT("Pianificazione!a1:a300"),0)),"hh:mm"),"")&amp;"-"&amp;IFERROR(TEXT(INDEX(INDIRECT("Pianificazione!f1:f300"),MATCH($A25&amp;C$1,INDIRECT("Pianificazione!c1:c300")&amp;INDIRECT("Pianificazione!a1:a300"),0)),"hh:mm"),""))</f>
        <v>Riposo</v>
      </c>
      <c r="D25" s="14" t="str" cm="1">
        <f t="array" aca="1" ref="D25" ca="1">+IF(IFERROR(TEXT(INDEX(INDIRECT("Pianificazione!e1:e300"),MATCH($A25&amp;D$1,INDIRECT("Pianificazione!c1:c300")&amp;INDIRECT("Pianificazione!a1:a300"),0)),"hh:mm"),"")&amp;"-"&amp;IFERROR(TEXT(INDEX(INDIRECT("Pianificazione!f1:f300"),MATCH($A25&amp;D$1,INDIRECT("Pianificazione!c1:c300")&amp;INDIRECT("Pianificazione!a1:a300"),0)),"hh:mm"),"")="-","Riposo",IFERROR(TEXT(INDEX(INDIRECT("Pianificazione!e1:e300"),MATCH($A25&amp;D$1,INDIRECT("Pianificazione!c1:c300")&amp;INDIRECT("Pianificazione!a1:a300"),0)),"hh:mm"),"")&amp;"-"&amp;IFERROR(TEXT(INDEX(INDIRECT("Pianificazione!f1:f300"),MATCH($A25&amp;D$1,INDIRECT("Pianificazione!c1:c300")&amp;INDIRECT("Pianificazione!a1:a300"),0)),"hh:mm"),""))</f>
        <v>Riposo</v>
      </c>
      <c r="E25" s="14" t="str" cm="1">
        <f t="array" aca="1" ref="E25" ca="1">+IF(IFERROR(TEXT(INDEX(INDIRECT("Pianificazione!e1:e300"),MATCH($A25&amp;E$1,INDIRECT("Pianificazione!c1:c300")&amp;INDIRECT("Pianificazione!a1:a300"),0)),"hh:mm"),"")&amp;"-"&amp;IFERROR(TEXT(INDEX(INDIRECT("Pianificazione!f1:f300"),MATCH($A25&amp;E$1,INDIRECT("Pianificazione!c1:c300")&amp;INDIRECT("Pianificazione!a1:a300"),0)),"hh:mm"),"")="-","Riposo",IFERROR(TEXT(INDEX(INDIRECT("Pianificazione!e1:e300"),MATCH($A25&amp;E$1,INDIRECT("Pianificazione!c1:c300")&amp;INDIRECT("Pianificazione!a1:a300"),0)),"hh:mm"),"")&amp;"-"&amp;IFERROR(TEXT(INDEX(INDIRECT("Pianificazione!f1:f300"),MATCH($A25&amp;E$1,INDIRECT("Pianificazione!c1:c300")&amp;INDIRECT("Pianificazione!a1:a300"),0)),"hh:mm"),""))</f>
        <v>Riposo</v>
      </c>
      <c r="F25" s="14" t="str" cm="1">
        <f t="array" aca="1" ref="F25" ca="1">+IF(IFERROR(TEXT(INDEX(INDIRECT("Pianificazione!e1:e300"),MATCH($A25&amp;F$1,INDIRECT("Pianificazione!c1:c300")&amp;INDIRECT("Pianificazione!a1:a300"),0)),"hh:mm"),"")&amp;"-"&amp;IFERROR(TEXT(INDEX(INDIRECT("Pianificazione!f1:f300"),MATCH($A25&amp;F$1,INDIRECT("Pianificazione!c1:c300")&amp;INDIRECT("Pianificazione!a1:a300"),0)),"hh:mm"),"")="-","Riposo",IFERROR(TEXT(INDEX(INDIRECT("Pianificazione!e1:e300"),MATCH($A25&amp;F$1,INDIRECT("Pianificazione!c1:c300")&amp;INDIRECT("Pianificazione!a1:a300"),0)),"hh:mm"),"")&amp;"-"&amp;IFERROR(TEXT(INDEX(INDIRECT("Pianificazione!f1:f300"),MATCH($A25&amp;F$1,INDIRECT("Pianificazione!c1:c300")&amp;INDIRECT("Pianificazione!a1:a300"),0)),"hh:mm"),""))</f>
        <v>Riposo</v>
      </c>
      <c r="G25" s="14" t="str" cm="1">
        <f t="array" aca="1" ref="G25" ca="1">+IF(IFERROR(TEXT(INDEX(INDIRECT("Pianificazione!e1:e300"),MATCH($A25&amp;G$1,INDIRECT("Pianificazione!c1:c300")&amp;INDIRECT("Pianificazione!a1:a300"),0)),"hh:mm"),"")&amp;"-"&amp;IFERROR(TEXT(INDEX(INDIRECT("Pianificazione!f1:f300"),MATCH($A25&amp;G$1,INDIRECT("Pianificazione!c1:c300")&amp;INDIRECT("Pianificazione!a1:a300"),0)),"hh:mm"),"")="-","Riposo",IFERROR(TEXT(INDEX(INDIRECT("Pianificazione!e1:e300"),MATCH($A25&amp;G$1,INDIRECT("Pianificazione!c1:c300")&amp;INDIRECT("Pianificazione!a1:a300"),0)),"hh:mm"),"")&amp;"-"&amp;IFERROR(TEXT(INDEX(INDIRECT("Pianificazione!f1:f300"),MATCH($A25&amp;G$1,INDIRECT("Pianificazione!c1:c300")&amp;INDIRECT("Pianificazione!a1:a300"),0)),"hh:mm"),""))</f>
        <v>Riposo</v>
      </c>
      <c r="H25" s="14" t="str" cm="1">
        <f t="array" aca="1" ref="H25" ca="1">+IF(IFERROR(TEXT(INDEX(INDIRECT("Pianificazione!e1:e300"),MATCH($A25&amp;H$1,INDIRECT("Pianificazione!c1:c300")&amp;INDIRECT("Pianificazione!a1:a300"),0)),"hh:mm"),"")&amp;"-"&amp;IFERROR(TEXT(INDEX(INDIRECT("Pianificazione!f1:f300"),MATCH($A25&amp;H$1,INDIRECT("Pianificazione!c1:c300")&amp;INDIRECT("Pianificazione!a1:a300"),0)),"hh:mm"),"")="-","Riposo",IFERROR(TEXT(INDEX(INDIRECT("Pianificazione!e1:e300"),MATCH($A25&amp;H$1,INDIRECT("Pianificazione!c1:c300")&amp;INDIRECT("Pianificazione!a1:a300"),0)),"hh:mm"),"")&amp;"-"&amp;IFERROR(TEXT(INDEX(INDIRECT("Pianificazione!f1:f300"),MATCH($A25&amp;H$1,INDIRECT("Pianificazione!c1:c300")&amp;INDIRECT("Pianificazione!a1:a300"),0)),"hh:mm"),""))</f>
        <v>Riposo</v>
      </c>
      <c r="J25" s="3">
        <v>1</v>
      </c>
    </row>
    <row r="26" spans="1:10">
      <c r="A26" t="e">
        <f>+Risorse!#REF!</f>
        <v>#REF!</v>
      </c>
      <c r="B26" s="14" t="str" cm="1">
        <f t="array" aca="1" ref="B26" ca="1">+IF(IFERROR(TEXT(INDEX(INDIRECT("Pianificazione!e1:e300"),MATCH($A26&amp;B$1,INDIRECT("Pianificazione!c1:c300")&amp;INDIRECT("Pianificazione!a1:a300"),0)),"hh:mm"),"")&amp;"-"&amp;IFERROR(TEXT(INDEX(INDIRECT("Pianificazione!f1:f300"),MATCH($A26&amp;B$1,INDIRECT("Pianificazione!c1:c300")&amp;INDIRECT("Pianificazione!a1:a300"),0)),"hh:mm"),"")="-","Riposo",IFERROR(TEXT(INDEX(INDIRECT("Pianificazione!e1:e300"),MATCH($A26&amp;B$1,INDIRECT("Pianificazione!c1:c300")&amp;INDIRECT("Pianificazione!a1:a300"),0)),"hh:mm"),"")&amp;"-"&amp;IFERROR(TEXT(INDEX(INDIRECT("Pianificazione!f1:f300"),MATCH($A26&amp;B$1,INDIRECT("Pianificazione!c1:c300")&amp;INDIRECT("Pianificazione!a1:a300"),0)),"hh:mm"),""))</f>
        <v>Riposo</v>
      </c>
      <c r="C26" s="14" t="str" cm="1">
        <f t="array" aca="1" ref="C26" ca="1">+IF(IFERROR(TEXT(INDEX(INDIRECT("Pianificazione!e1:e300"),MATCH($A26&amp;C$1,INDIRECT("Pianificazione!c1:c300")&amp;INDIRECT("Pianificazione!a1:a300"),0)),"hh:mm"),"")&amp;"-"&amp;IFERROR(TEXT(INDEX(INDIRECT("Pianificazione!f1:f300"),MATCH($A26&amp;C$1,INDIRECT("Pianificazione!c1:c300")&amp;INDIRECT("Pianificazione!a1:a300"),0)),"hh:mm"),"")="-","Riposo",IFERROR(TEXT(INDEX(INDIRECT("Pianificazione!e1:e300"),MATCH($A26&amp;C$1,INDIRECT("Pianificazione!c1:c300")&amp;INDIRECT("Pianificazione!a1:a300"),0)),"hh:mm"),"")&amp;"-"&amp;IFERROR(TEXT(INDEX(INDIRECT("Pianificazione!f1:f300"),MATCH($A26&amp;C$1,INDIRECT("Pianificazione!c1:c300")&amp;INDIRECT("Pianificazione!a1:a300"),0)),"hh:mm"),""))</f>
        <v>Riposo</v>
      </c>
      <c r="D26" s="14" t="str" cm="1">
        <f t="array" aca="1" ref="D26" ca="1">+IF(IFERROR(TEXT(INDEX(INDIRECT("Pianificazione!e1:e300"),MATCH($A26&amp;D$1,INDIRECT("Pianificazione!c1:c300")&amp;INDIRECT("Pianificazione!a1:a300"),0)),"hh:mm"),"")&amp;"-"&amp;IFERROR(TEXT(INDEX(INDIRECT("Pianificazione!f1:f300"),MATCH($A26&amp;D$1,INDIRECT("Pianificazione!c1:c300")&amp;INDIRECT("Pianificazione!a1:a300"),0)),"hh:mm"),"")="-","Riposo",IFERROR(TEXT(INDEX(INDIRECT("Pianificazione!e1:e300"),MATCH($A26&amp;D$1,INDIRECT("Pianificazione!c1:c300")&amp;INDIRECT("Pianificazione!a1:a300"),0)),"hh:mm"),"")&amp;"-"&amp;IFERROR(TEXT(INDEX(INDIRECT("Pianificazione!f1:f300"),MATCH($A26&amp;D$1,INDIRECT("Pianificazione!c1:c300")&amp;INDIRECT("Pianificazione!a1:a300"),0)),"hh:mm"),""))</f>
        <v>Riposo</v>
      </c>
      <c r="E26" s="14" t="str" cm="1">
        <f t="array" aca="1" ref="E26" ca="1">+IF(IFERROR(TEXT(INDEX(INDIRECT("Pianificazione!e1:e300"),MATCH($A26&amp;E$1,INDIRECT("Pianificazione!c1:c300")&amp;INDIRECT("Pianificazione!a1:a300"),0)),"hh:mm"),"")&amp;"-"&amp;IFERROR(TEXT(INDEX(INDIRECT("Pianificazione!f1:f300"),MATCH($A26&amp;E$1,INDIRECT("Pianificazione!c1:c300")&amp;INDIRECT("Pianificazione!a1:a300"),0)),"hh:mm"),"")="-","Riposo",IFERROR(TEXT(INDEX(INDIRECT("Pianificazione!e1:e300"),MATCH($A26&amp;E$1,INDIRECT("Pianificazione!c1:c300")&amp;INDIRECT("Pianificazione!a1:a300"),0)),"hh:mm"),"")&amp;"-"&amp;IFERROR(TEXT(INDEX(INDIRECT("Pianificazione!f1:f300"),MATCH($A26&amp;E$1,INDIRECT("Pianificazione!c1:c300")&amp;INDIRECT("Pianificazione!a1:a300"),0)),"hh:mm"),""))</f>
        <v>Riposo</v>
      </c>
      <c r="F26" s="14" t="str" cm="1">
        <f t="array" aca="1" ref="F26" ca="1">+IF(IFERROR(TEXT(INDEX(INDIRECT("Pianificazione!e1:e300"),MATCH($A26&amp;F$1,INDIRECT("Pianificazione!c1:c300")&amp;INDIRECT("Pianificazione!a1:a300"),0)),"hh:mm"),"")&amp;"-"&amp;IFERROR(TEXT(INDEX(INDIRECT("Pianificazione!f1:f300"),MATCH($A26&amp;F$1,INDIRECT("Pianificazione!c1:c300")&amp;INDIRECT("Pianificazione!a1:a300"),0)),"hh:mm"),"")="-","Riposo",IFERROR(TEXT(INDEX(INDIRECT("Pianificazione!e1:e300"),MATCH($A26&amp;F$1,INDIRECT("Pianificazione!c1:c300")&amp;INDIRECT("Pianificazione!a1:a300"),0)),"hh:mm"),"")&amp;"-"&amp;IFERROR(TEXT(INDEX(INDIRECT("Pianificazione!f1:f300"),MATCH($A26&amp;F$1,INDIRECT("Pianificazione!c1:c300")&amp;INDIRECT("Pianificazione!a1:a300"),0)),"hh:mm"),""))</f>
        <v>Riposo</v>
      </c>
      <c r="G26" s="14" t="str" cm="1">
        <f t="array" aca="1" ref="G26" ca="1">+IF(IFERROR(TEXT(INDEX(INDIRECT("Pianificazione!e1:e300"),MATCH($A26&amp;G$1,INDIRECT("Pianificazione!c1:c300")&amp;INDIRECT("Pianificazione!a1:a300"),0)),"hh:mm"),"")&amp;"-"&amp;IFERROR(TEXT(INDEX(INDIRECT("Pianificazione!f1:f300"),MATCH($A26&amp;G$1,INDIRECT("Pianificazione!c1:c300")&amp;INDIRECT("Pianificazione!a1:a300"),0)),"hh:mm"),"")="-","Riposo",IFERROR(TEXT(INDEX(INDIRECT("Pianificazione!e1:e300"),MATCH($A26&amp;G$1,INDIRECT("Pianificazione!c1:c300")&amp;INDIRECT("Pianificazione!a1:a300"),0)),"hh:mm"),"")&amp;"-"&amp;IFERROR(TEXT(INDEX(INDIRECT("Pianificazione!f1:f300"),MATCH($A26&amp;G$1,INDIRECT("Pianificazione!c1:c300")&amp;INDIRECT("Pianificazione!a1:a300"),0)),"hh:mm"),""))</f>
        <v>Riposo</v>
      </c>
      <c r="H26" s="14" t="str" cm="1">
        <f t="array" aca="1" ref="H26" ca="1">+IF(IFERROR(TEXT(INDEX(INDIRECT("Pianificazione!e1:e300"),MATCH($A26&amp;H$1,INDIRECT("Pianificazione!c1:c300")&amp;INDIRECT("Pianificazione!a1:a300"),0)),"hh:mm"),"")&amp;"-"&amp;IFERROR(TEXT(INDEX(INDIRECT("Pianificazione!f1:f300"),MATCH($A26&amp;H$1,INDIRECT("Pianificazione!c1:c300")&amp;INDIRECT("Pianificazione!a1:a300"),0)),"hh:mm"),"")="-","Riposo",IFERROR(TEXT(INDEX(INDIRECT("Pianificazione!e1:e300"),MATCH($A26&amp;H$1,INDIRECT("Pianificazione!c1:c300")&amp;INDIRECT("Pianificazione!a1:a300"),0)),"hh:mm"),"")&amp;"-"&amp;IFERROR(TEXT(INDEX(INDIRECT("Pianificazione!f1:f300"),MATCH($A26&amp;H$1,INDIRECT("Pianificazione!c1:c300")&amp;INDIRECT("Pianificazione!a1:a300"),0)),"hh:mm"),""))</f>
        <v>Riposo</v>
      </c>
      <c r="J26" s="3">
        <v>1</v>
      </c>
    </row>
    <row r="27" spans="1:10">
      <c r="A27" t="e">
        <f>+Risorse!#REF!</f>
        <v>#REF!</v>
      </c>
      <c r="B27" s="14" t="str" cm="1">
        <f t="array" aca="1" ref="B27" ca="1">+IF(IFERROR(TEXT(INDEX(INDIRECT("Pianificazione!e1:e300"),MATCH($A27&amp;B$1,INDIRECT("Pianificazione!c1:c300")&amp;INDIRECT("Pianificazione!a1:a300"),0)),"hh:mm"),"")&amp;"-"&amp;IFERROR(TEXT(INDEX(INDIRECT("Pianificazione!f1:f300"),MATCH($A27&amp;B$1,INDIRECT("Pianificazione!c1:c300")&amp;INDIRECT("Pianificazione!a1:a300"),0)),"hh:mm"),"")="-","Riposo",IFERROR(TEXT(INDEX(INDIRECT("Pianificazione!e1:e300"),MATCH($A27&amp;B$1,INDIRECT("Pianificazione!c1:c300")&amp;INDIRECT("Pianificazione!a1:a300"),0)),"hh:mm"),"")&amp;"-"&amp;IFERROR(TEXT(INDEX(INDIRECT("Pianificazione!f1:f300"),MATCH($A27&amp;B$1,INDIRECT("Pianificazione!c1:c300")&amp;INDIRECT("Pianificazione!a1:a300"),0)),"hh:mm"),""))</f>
        <v>Riposo</v>
      </c>
      <c r="C27" s="14" t="str" cm="1">
        <f t="array" aca="1" ref="C27" ca="1">+IF(IFERROR(TEXT(INDEX(INDIRECT("Pianificazione!e1:e300"),MATCH($A27&amp;C$1,INDIRECT("Pianificazione!c1:c300")&amp;INDIRECT("Pianificazione!a1:a300"),0)),"hh:mm"),"")&amp;"-"&amp;IFERROR(TEXT(INDEX(INDIRECT("Pianificazione!f1:f300"),MATCH($A27&amp;C$1,INDIRECT("Pianificazione!c1:c300")&amp;INDIRECT("Pianificazione!a1:a300"),0)),"hh:mm"),"")="-","Riposo",IFERROR(TEXT(INDEX(INDIRECT("Pianificazione!e1:e300"),MATCH($A27&amp;C$1,INDIRECT("Pianificazione!c1:c300")&amp;INDIRECT("Pianificazione!a1:a300"),0)),"hh:mm"),"")&amp;"-"&amp;IFERROR(TEXT(INDEX(INDIRECT("Pianificazione!f1:f300"),MATCH($A27&amp;C$1,INDIRECT("Pianificazione!c1:c300")&amp;INDIRECT("Pianificazione!a1:a300"),0)),"hh:mm"),""))</f>
        <v>Riposo</v>
      </c>
      <c r="D27" s="14" t="str" cm="1">
        <f t="array" aca="1" ref="D27" ca="1">+IF(IFERROR(TEXT(INDEX(INDIRECT("Pianificazione!e1:e300"),MATCH($A27&amp;D$1,INDIRECT("Pianificazione!c1:c300")&amp;INDIRECT("Pianificazione!a1:a300"),0)),"hh:mm"),"")&amp;"-"&amp;IFERROR(TEXT(INDEX(INDIRECT("Pianificazione!f1:f300"),MATCH($A27&amp;D$1,INDIRECT("Pianificazione!c1:c300")&amp;INDIRECT("Pianificazione!a1:a300"),0)),"hh:mm"),"")="-","Riposo",IFERROR(TEXT(INDEX(INDIRECT("Pianificazione!e1:e300"),MATCH($A27&amp;D$1,INDIRECT("Pianificazione!c1:c300")&amp;INDIRECT("Pianificazione!a1:a300"),0)),"hh:mm"),"")&amp;"-"&amp;IFERROR(TEXT(INDEX(INDIRECT("Pianificazione!f1:f300"),MATCH($A27&amp;D$1,INDIRECT("Pianificazione!c1:c300")&amp;INDIRECT("Pianificazione!a1:a300"),0)),"hh:mm"),""))</f>
        <v>Riposo</v>
      </c>
      <c r="E27" s="14" t="str" cm="1">
        <f t="array" aca="1" ref="E27" ca="1">+IF(IFERROR(TEXT(INDEX(INDIRECT("Pianificazione!e1:e300"),MATCH($A27&amp;E$1,INDIRECT("Pianificazione!c1:c300")&amp;INDIRECT("Pianificazione!a1:a300"),0)),"hh:mm"),"")&amp;"-"&amp;IFERROR(TEXT(INDEX(INDIRECT("Pianificazione!f1:f300"),MATCH($A27&amp;E$1,INDIRECT("Pianificazione!c1:c300")&amp;INDIRECT("Pianificazione!a1:a300"),0)),"hh:mm"),"")="-","Riposo",IFERROR(TEXT(INDEX(INDIRECT("Pianificazione!e1:e300"),MATCH($A27&amp;E$1,INDIRECT("Pianificazione!c1:c300")&amp;INDIRECT("Pianificazione!a1:a300"),0)),"hh:mm"),"")&amp;"-"&amp;IFERROR(TEXT(INDEX(INDIRECT("Pianificazione!f1:f300"),MATCH($A27&amp;E$1,INDIRECT("Pianificazione!c1:c300")&amp;INDIRECT("Pianificazione!a1:a300"),0)),"hh:mm"),""))</f>
        <v>Riposo</v>
      </c>
      <c r="F27" s="14" t="str" cm="1">
        <f t="array" aca="1" ref="F27" ca="1">+IF(IFERROR(TEXT(INDEX(INDIRECT("Pianificazione!e1:e300"),MATCH($A27&amp;F$1,INDIRECT("Pianificazione!c1:c300")&amp;INDIRECT("Pianificazione!a1:a300"),0)),"hh:mm"),"")&amp;"-"&amp;IFERROR(TEXT(INDEX(INDIRECT("Pianificazione!f1:f300"),MATCH($A27&amp;F$1,INDIRECT("Pianificazione!c1:c300")&amp;INDIRECT("Pianificazione!a1:a300"),0)),"hh:mm"),"")="-","Riposo",IFERROR(TEXT(INDEX(INDIRECT("Pianificazione!e1:e300"),MATCH($A27&amp;F$1,INDIRECT("Pianificazione!c1:c300")&amp;INDIRECT("Pianificazione!a1:a300"),0)),"hh:mm"),"")&amp;"-"&amp;IFERROR(TEXT(INDEX(INDIRECT("Pianificazione!f1:f300"),MATCH($A27&amp;F$1,INDIRECT("Pianificazione!c1:c300")&amp;INDIRECT("Pianificazione!a1:a300"),0)),"hh:mm"),""))</f>
        <v>Riposo</v>
      </c>
      <c r="G27" s="14" t="str" cm="1">
        <f t="array" aca="1" ref="G27" ca="1">+IF(IFERROR(TEXT(INDEX(INDIRECT("Pianificazione!e1:e300"),MATCH($A27&amp;G$1,INDIRECT("Pianificazione!c1:c300")&amp;INDIRECT("Pianificazione!a1:a300"),0)),"hh:mm"),"")&amp;"-"&amp;IFERROR(TEXT(INDEX(INDIRECT("Pianificazione!f1:f300"),MATCH($A27&amp;G$1,INDIRECT("Pianificazione!c1:c300")&amp;INDIRECT("Pianificazione!a1:a300"),0)),"hh:mm"),"")="-","Riposo",IFERROR(TEXT(INDEX(INDIRECT("Pianificazione!e1:e300"),MATCH($A27&amp;G$1,INDIRECT("Pianificazione!c1:c300")&amp;INDIRECT("Pianificazione!a1:a300"),0)),"hh:mm"),"")&amp;"-"&amp;IFERROR(TEXT(INDEX(INDIRECT("Pianificazione!f1:f300"),MATCH($A27&amp;G$1,INDIRECT("Pianificazione!c1:c300")&amp;INDIRECT("Pianificazione!a1:a300"),0)),"hh:mm"),""))</f>
        <v>Riposo</v>
      </c>
      <c r="H27" s="14" t="str" cm="1">
        <f t="array" aca="1" ref="H27" ca="1">+IF(IFERROR(TEXT(INDEX(INDIRECT("Pianificazione!e1:e300"),MATCH($A27&amp;H$1,INDIRECT("Pianificazione!c1:c300")&amp;INDIRECT("Pianificazione!a1:a300"),0)),"hh:mm"),"")&amp;"-"&amp;IFERROR(TEXT(INDEX(INDIRECT("Pianificazione!f1:f300"),MATCH($A27&amp;H$1,INDIRECT("Pianificazione!c1:c300")&amp;INDIRECT("Pianificazione!a1:a300"),0)),"hh:mm"),"")="-","Riposo",IFERROR(TEXT(INDEX(INDIRECT("Pianificazione!e1:e300"),MATCH($A27&amp;H$1,INDIRECT("Pianificazione!c1:c300")&amp;INDIRECT("Pianificazione!a1:a300"),0)),"hh:mm"),"")&amp;"-"&amp;IFERROR(TEXT(INDEX(INDIRECT("Pianificazione!f1:f300"),MATCH($A27&amp;H$1,INDIRECT("Pianificazione!c1:c300")&amp;INDIRECT("Pianificazione!a1:a300"),0)),"hh:mm"),""))</f>
        <v>Riposo</v>
      </c>
      <c r="J27" s="3">
        <v>1</v>
      </c>
    </row>
    <row r="28" spans="1:10">
      <c r="A28" t="e">
        <f>+Risorse!#REF!</f>
        <v>#REF!</v>
      </c>
      <c r="B28" s="14" t="str" cm="1">
        <f t="array" aca="1" ref="B28" ca="1">+IF(IFERROR(TEXT(INDEX(INDIRECT("Pianificazione!e1:e300"),MATCH($A28&amp;B$1,INDIRECT("Pianificazione!c1:c300")&amp;INDIRECT("Pianificazione!a1:a300"),0)),"hh:mm"),"")&amp;"-"&amp;IFERROR(TEXT(INDEX(INDIRECT("Pianificazione!f1:f300"),MATCH($A28&amp;B$1,INDIRECT("Pianificazione!c1:c300")&amp;INDIRECT("Pianificazione!a1:a300"),0)),"hh:mm"),"")="-","Riposo",IFERROR(TEXT(INDEX(INDIRECT("Pianificazione!e1:e300"),MATCH($A28&amp;B$1,INDIRECT("Pianificazione!c1:c300")&amp;INDIRECT("Pianificazione!a1:a300"),0)),"hh:mm"),"")&amp;"-"&amp;IFERROR(TEXT(INDEX(INDIRECT("Pianificazione!f1:f300"),MATCH($A28&amp;B$1,INDIRECT("Pianificazione!c1:c300")&amp;INDIRECT("Pianificazione!a1:a300"),0)),"hh:mm"),""))</f>
        <v>Riposo</v>
      </c>
      <c r="C28" s="14" t="str" cm="1">
        <f t="array" aca="1" ref="C28" ca="1">+IF(IFERROR(TEXT(INDEX(INDIRECT("Pianificazione!e1:e300"),MATCH($A28&amp;C$1,INDIRECT("Pianificazione!c1:c300")&amp;INDIRECT("Pianificazione!a1:a300"),0)),"hh:mm"),"")&amp;"-"&amp;IFERROR(TEXT(INDEX(INDIRECT("Pianificazione!f1:f300"),MATCH($A28&amp;C$1,INDIRECT("Pianificazione!c1:c300")&amp;INDIRECT("Pianificazione!a1:a300"),0)),"hh:mm"),"")="-","Riposo",IFERROR(TEXT(INDEX(INDIRECT("Pianificazione!e1:e300"),MATCH($A28&amp;C$1,INDIRECT("Pianificazione!c1:c300")&amp;INDIRECT("Pianificazione!a1:a300"),0)),"hh:mm"),"")&amp;"-"&amp;IFERROR(TEXT(INDEX(INDIRECT("Pianificazione!f1:f300"),MATCH($A28&amp;C$1,INDIRECT("Pianificazione!c1:c300")&amp;INDIRECT("Pianificazione!a1:a300"),0)),"hh:mm"),""))</f>
        <v>Riposo</v>
      </c>
      <c r="D28" s="14" t="str" cm="1">
        <f t="array" aca="1" ref="D28" ca="1">+IF(IFERROR(TEXT(INDEX(INDIRECT("Pianificazione!e1:e300"),MATCH($A28&amp;D$1,INDIRECT("Pianificazione!c1:c300")&amp;INDIRECT("Pianificazione!a1:a300"),0)),"hh:mm"),"")&amp;"-"&amp;IFERROR(TEXT(INDEX(INDIRECT("Pianificazione!f1:f300"),MATCH($A28&amp;D$1,INDIRECT("Pianificazione!c1:c300")&amp;INDIRECT("Pianificazione!a1:a300"),0)),"hh:mm"),"")="-","Riposo",IFERROR(TEXT(INDEX(INDIRECT("Pianificazione!e1:e300"),MATCH($A28&amp;D$1,INDIRECT("Pianificazione!c1:c300")&amp;INDIRECT("Pianificazione!a1:a300"),0)),"hh:mm"),"")&amp;"-"&amp;IFERROR(TEXT(INDEX(INDIRECT("Pianificazione!f1:f300"),MATCH($A28&amp;D$1,INDIRECT("Pianificazione!c1:c300")&amp;INDIRECT("Pianificazione!a1:a300"),0)),"hh:mm"),""))</f>
        <v>Riposo</v>
      </c>
      <c r="E28" s="14" t="str" cm="1">
        <f t="array" aca="1" ref="E28" ca="1">+IF(IFERROR(TEXT(INDEX(INDIRECT("Pianificazione!e1:e300"),MATCH($A28&amp;E$1,INDIRECT("Pianificazione!c1:c300")&amp;INDIRECT("Pianificazione!a1:a300"),0)),"hh:mm"),"")&amp;"-"&amp;IFERROR(TEXT(INDEX(INDIRECT("Pianificazione!f1:f300"),MATCH($A28&amp;E$1,INDIRECT("Pianificazione!c1:c300")&amp;INDIRECT("Pianificazione!a1:a300"),0)),"hh:mm"),"")="-","Riposo",IFERROR(TEXT(INDEX(INDIRECT("Pianificazione!e1:e300"),MATCH($A28&amp;E$1,INDIRECT("Pianificazione!c1:c300")&amp;INDIRECT("Pianificazione!a1:a300"),0)),"hh:mm"),"")&amp;"-"&amp;IFERROR(TEXT(INDEX(INDIRECT("Pianificazione!f1:f300"),MATCH($A28&amp;E$1,INDIRECT("Pianificazione!c1:c300")&amp;INDIRECT("Pianificazione!a1:a300"),0)),"hh:mm"),""))</f>
        <v>Riposo</v>
      </c>
      <c r="F28" s="14" t="str" cm="1">
        <f t="array" aca="1" ref="F28" ca="1">+IF(IFERROR(TEXT(INDEX(INDIRECT("Pianificazione!e1:e300"),MATCH($A28&amp;F$1,INDIRECT("Pianificazione!c1:c300")&amp;INDIRECT("Pianificazione!a1:a300"),0)),"hh:mm"),"")&amp;"-"&amp;IFERROR(TEXT(INDEX(INDIRECT("Pianificazione!f1:f300"),MATCH($A28&amp;F$1,INDIRECT("Pianificazione!c1:c300")&amp;INDIRECT("Pianificazione!a1:a300"),0)),"hh:mm"),"")="-","Riposo",IFERROR(TEXT(INDEX(INDIRECT("Pianificazione!e1:e300"),MATCH($A28&amp;F$1,INDIRECT("Pianificazione!c1:c300")&amp;INDIRECT("Pianificazione!a1:a300"),0)),"hh:mm"),"")&amp;"-"&amp;IFERROR(TEXT(INDEX(INDIRECT("Pianificazione!f1:f300"),MATCH($A28&amp;F$1,INDIRECT("Pianificazione!c1:c300")&amp;INDIRECT("Pianificazione!a1:a300"),0)),"hh:mm"),""))</f>
        <v>Riposo</v>
      </c>
      <c r="G28" s="14" t="str" cm="1">
        <f t="array" aca="1" ref="G28" ca="1">+IF(IFERROR(TEXT(INDEX(INDIRECT("Pianificazione!e1:e300"),MATCH($A28&amp;G$1,INDIRECT("Pianificazione!c1:c300")&amp;INDIRECT("Pianificazione!a1:a300"),0)),"hh:mm"),"")&amp;"-"&amp;IFERROR(TEXT(INDEX(INDIRECT("Pianificazione!f1:f300"),MATCH($A28&amp;G$1,INDIRECT("Pianificazione!c1:c300")&amp;INDIRECT("Pianificazione!a1:a300"),0)),"hh:mm"),"")="-","Riposo",IFERROR(TEXT(INDEX(INDIRECT("Pianificazione!e1:e300"),MATCH($A28&amp;G$1,INDIRECT("Pianificazione!c1:c300")&amp;INDIRECT("Pianificazione!a1:a300"),0)),"hh:mm"),"")&amp;"-"&amp;IFERROR(TEXT(INDEX(INDIRECT("Pianificazione!f1:f300"),MATCH($A28&amp;G$1,INDIRECT("Pianificazione!c1:c300")&amp;INDIRECT("Pianificazione!a1:a300"),0)),"hh:mm"),""))</f>
        <v>Riposo</v>
      </c>
      <c r="H28" s="14" t="str" cm="1">
        <f t="array" aca="1" ref="H28" ca="1">+IF(IFERROR(TEXT(INDEX(INDIRECT("Pianificazione!e1:e300"),MATCH($A28&amp;H$1,INDIRECT("Pianificazione!c1:c300")&amp;INDIRECT("Pianificazione!a1:a300"),0)),"hh:mm"),"")&amp;"-"&amp;IFERROR(TEXT(INDEX(INDIRECT("Pianificazione!f1:f300"),MATCH($A28&amp;H$1,INDIRECT("Pianificazione!c1:c300")&amp;INDIRECT("Pianificazione!a1:a300"),0)),"hh:mm"),"")="-","Riposo",IFERROR(TEXT(INDEX(INDIRECT("Pianificazione!e1:e300"),MATCH($A28&amp;H$1,INDIRECT("Pianificazione!c1:c300")&amp;INDIRECT("Pianificazione!a1:a300"),0)),"hh:mm"),"")&amp;"-"&amp;IFERROR(TEXT(INDEX(INDIRECT("Pianificazione!f1:f300"),MATCH($A28&amp;H$1,INDIRECT("Pianificazione!c1:c300")&amp;INDIRECT("Pianificazione!a1:a300"),0)),"hh:mm"),""))</f>
        <v>Riposo</v>
      </c>
      <c r="J28" s="3">
        <v>1</v>
      </c>
    </row>
    <row r="29" spans="1:10">
      <c r="A29" t="e">
        <f>+Risorse!#REF!</f>
        <v>#REF!</v>
      </c>
      <c r="B29" s="14" t="str" cm="1">
        <f t="array" aca="1" ref="B29" ca="1">+IF(IFERROR(TEXT(INDEX(INDIRECT("Pianificazione!e1:e300"),MATCH($A29&amp;B$1,INDIRECT("Pianificazione!c1:c300")&amp;INDIRECT("Pianificazione!a1:a300"),0)),"hh:mm"),"")&amp;"-"&amp;IFERROR(TEXT(INDEX(INDIRECT("Pianificazione!f1:f300"),MATCH($A29&amp;B$1,INDIRECT("Pianificazione!c1:c300")&amp;INDIRECT("Pianificazione!a1:a300"),0)),"hh:mm"),"")="-","Riposo",IFERROR(TEXT(INDEX(INDIRECT("Pianificazione!e1:e300"),MATCH($A29&amp;B$1,INDIRECT("Pianificazione!c1:c300")&amp;INDIRECT("Pianificazione!a1:a300"),0)),"hh:mm"),"")&amp;"-"&amp;IFERROR(TEXT(INDEX(INDIRECT("Pianificazione!f1:f300"),MATCH($A29&amp;B$1,INDIRECT("Pianificazione!c1:c300")&amp;INDIRECT("Pianificazione!a1:a300"),0)),"hh:mm"),""))</f>
        <v>Riposo</v>
      </c>
      <c r="C29" s="14" t="str" cm="1">
        <f t="array" aca="1" ref="C29" ca="1">+IF(IFERROR(TEXT(INDEX(INDIRECT("Pianificazione!e1:e300"),MATCH($A29&amp;C$1,INDIRECT("Pianificazione!c1:c300")&amp;INDIRECT("Pianificazione!a1:a300"),0)),"hh:mm"),"")&amp;"-"&amp;IFERROR(TEXT(INDEX(INDIRECT("Pianificazione!f1:f300"),MATCH($A29&amp;C$1,INDIRECT("Pianificazione!c1:c300")&amp;INDIRECT("Pianificazione!a1:a300"),0)),"hh:mm"),"")="-","Riposo",IFERROR(TEXT(INDEX(INDIRECT("Pianificazione!e1:e300"),MATCH($A29&amp;C$1,INDIRECT("Pianificazione!c1:c300")&amp;INDIRECT("Pianificazione!a1:a300"),0)),"hh:mm"),"")&amp;"-"&amp;IFERROR(TEXT(INDEX(INDIRECT("Pianificazione!f1:f300"),MATCH($A29&amp;C$1,INDIRECT("Pianificazione!c1:c300")&amp;INDIRECT("Pianificazione!a1:a300"),0)),"hh:mm"),""))</f>
        <v>Riposo</v>
      </c>
      <c r="D29" s="14" t="str" cm="1">
        <f t="array" aca="1" ref="D29" ca="1">+IF(IFERROR(TEXT(INDEX(INDIRECT("Pianificazione!e1:e300"),MATCH($A29&amp;D$1,INDIRECT("Pianificazione!c1:c300")&amp;INDIRECT("Pianificazione!a1:a300"),0)),"hh:mm"),"")&amp;"-"&amp;IFERROR(TEXT(INDEX(INDIRECT("Pianificazione!f1:f300"),MATCH($A29&amp;D$1,INDIRECT("Pianificazione!c1:c300")&amp;INDIRECT("Pianificazione!a1:a300"),0)),"hh:mm"),"")="-","Riposo",IFERROR(TEXT(INDEX(INDIRECT("Pianificazione!e1:e300"),MATCH($A29&amp;D$1,INDIRECT("Pianificazione!c1:c300")&amp;INDIRECT("Pianificazione!a1:a300"),0)),"hh:mm"),"")&amp;"-"&amp;IFERROR(TEXT(INDEX(INDIRECT("Pianificazione!f1:f300"),MATCH($A29&amp;D$1,INDIRECT("Pianificazione!c1:c300")&amp;INDIRECT("Pianificazione!a1:a300"),0)),"hh:mm"),""))</f>
        <v>Riposo</v>
      </c>
      <c r="E29" s="14" t="str" cm="1">
        <f t="array" aca="1" ref="E29" ca="1">+IF(IFERROR(TEXT(INDEX(INDIRECT("Pianificazione!e1:e300"),MATCH($A29&amp;E$1,INDIRECT("Pianificazione!c1:c300")&amp;INDIRECT("Pianificazione!a1:a300"),0)),"hh:mm"),"")&amp;"-"&amp;IFERROR(TEXT(INDEX(INDIRECT("Pianificazione!f1:f300"),MATCH($A29&amp;E$1,INDIRECT("Pianificazione!c1:c300")&amp;INDIRECT("Pianificazione!a1:a300"),0)),"hh:mm"),"")="-","Riposo",IFERROR(TEXT(INDEX(INDIRECT("Pianificazione!e1:e300"),MATCH($A29&amp;E$1,INDIRECT("Pianificazione!c1:c300")&amp;INDIRECT("Pianificazione!a1:a300"),0)),"hh:mm"),"")&amp;"-"&amp;IFERROR(TEXT(INDEX(INDIRECT("Pianificazione!f1:f300"),MATCH($A29&amp;E$1,INDIRECT("Pianificazione!c1:c300")&amp;INDIRECT("Pianificazione!a1:a300"),0)),"hh:mm"),""))</f>
        <v>Riposo</v>
      </c>
      <c r="F29" s="14" t="str" cm="1">
        <f t="array" aca="1" ref="F29" ca="1">+IF(IFERROR(TEXT(INDEX(INDIRECT("Pianificazione!e1:e300"),MATCH($A29&amp;F$1,INDIRECT("Pianificazione!c1:c300")&amp;INDIRECT("Pianificazione!a1:a300"),0)),"hh:mm"),"")&amp;"-"&amp;IFERROR(TEXT(INDEX(INDIRECT("Pianificazione!f1:f300"),MATCH($A29&amp;F$1,INDIRECT("Pianificazione!c1:c300")&amp;INDIRECT("Pianificazione!a1:a300"),0)),"hh:mm"),"")="-","Riposo",IFERROR(TEXT(INDEX(INDIRECT("Pianificazione!e1:e300"),MATCH($A29&amp;F$1,INDIRECT("Pianificazione!c1:c300")&amp;INDIRECT("Pianificazione!a1:a300"),0)),"hh:mm"),"")&amp;"-"&amp;IFERROR(TEXT(INDEX(INDIRECT("Pianificazione!f1:f300"),MATCH($A29&amp;F$1,INDIRECT("Pianificazione!c1:c300")&amp;INDIRECT("Pianificazione!a1:a300"),0)),"hh:mm"),""))</f>
        <v>Riposo</v>
      </c>
      <c r="G29" s="14" t="str" cm="1">
        <f t="array" aca="1" ref="G29" ca="1">+IF(IFERROR(TEXT(INDEX(INDIRECT("Pianificazione!e1:e300"),MATCH($A29&amp;G$1,INDIRECT("Pianificazione!c1:c300")&amp;INDIRECT("Pianificazione!a1:a300"),0)),"hh:mm"),"")&amp;"-"&amp;IFERROR(TEXT(INDEX(INDIRECT("Pianificazione!f1:f300"),MATCH($A29&amp;G$1,INDIRECT("Pianificazione!c1:c300")&amp;INDIRECT("Pianificazione!a1:a300"),0)),"hh:mm"),"")="-","Riposo",IFERROR(TEXT(INDEX(INDIRECT("Pianificazione!e1:e300"),MATCH($A29&amp;G$1,INDIRECT("Pianificazione!c1:c300")&amp;INDIRECT("Pianificazione!a1:a300"),0)),"hh:mm"),"")&amp;"-"&amp;IFERROR(TEXT(INDEX(INDIRECT("Pianificazione!f1:f300"),MATCH($A29&amp;G$1,INDIRECT("Pianificazione!c1:c300")&amp;INDIRECT("Pianificazione!a1:a300"),0)),"hh:mm"),""))</f>
        <v>Riposo</v>
      </c>
      <c r="H29" s="14" t="str" cm="1">
        <f t="array" aca="1" ref="H29" ca="1">+IF(IFERROR(TEXT(INDEX(INDIRECT("Pianificazione!e1:e300"),MATCH($A29&amp;H$1,INDIRECT("Pianificazione!c1:c300")&amp;INDIRECT("Pianificazione!a1:a300"),0)),"hh:mm"),"")&amp;"-"&amp;IFERROR(TEXT(INDEX(INDIRECT("Pianificazione!f1:f300"),MATCH($A29&amp;H$1,INDIRECT("Pianificazione!c1:c300")&amp;INDIRECT("Pianificazione!a1:a300"),0)),"hh:mm"),"")="-","Riposo",IFERROR(TEXT(INDEX(INDIRECT("Pianificazione!e1:e300"),MATCH($A29&amp;H$1,INDIRECT("Pianificazione!c1:c300")&amp;INDIRECT("Pianificazione!a1:a300"),0)),"hh:mm"),"")&amp;"-"&amp;IFERROR(TEXT(INDEX(INDIRECT("Pianificazione!f1:f300"),MATCH($A29&amp;H$1,INDIRECT("Pianificazione!c1:c300")&amp;INDIRECT("Pianificazione!a1:a300"),0)),"hh:mm"),""))</f>
        <v>Riposo</v>
      </c>
      <c r="J29" s="3">
        <v>1</v>
      </c>
    </row>
    <row r="30" spans="1:10">
      <c r="B30" s="14"/>
      <c r="C30" s="14"/>
      <c r="D30" s="14"/>
      <c r="E30" s="14"/>
      <c r="F30" s="14"/>
      <c r="G30" s="14"/>
      <c r="H30" s="14"/>
    </row>
    <row r="31" spans="1:10">
      <c r="B31" s="14"/>
      <c r="C31" s="14"/>
      <c r="D31" s="14"/>
      <c r="E31" s="14"/>
      <c r="F31" s="14"/>
      <c r="G31" s="14"/>
      <c r="H31" s="14"/>
    </row>
    <row r="32" spans="1:10">
      <c r="B32" s="14"/>
      <c r="C32" s="14"/>
      <c r="D32" s="14"/>
      <c r="E32" s="14"/>
      <c r="F32" s="14"/>
      <c r="G32" s="14"/>
      <c r="H32" s="14"/>
    </row>
    <row r="33" spans="2:8">
      <c r="B33" s="14"/>
      <c r="C33" s="14"/>
      <c r="D33" s="14"/>
      <c r="E33" s="14"/>
      <c r="F33" s="14"/>
      <c r="G33" s="14"/>
      <c r="H33" s="14"/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0155-D9AA-4B8D-940B-29184CEBC1E9}">
  <sheetPr codeName="Foglio5"/>
  <dimension ref="A1:O96"/>
  <sheetViews>
    <sheetView workbookViewId="0">
      <selection activeCell="E27" sqref="E27"/>
    </sheetView>
  </sheetViews>
  <sheetFormatPr defaultRowHeight="15"/>
  <cols>
    <col min="1" max="1" width="28.42578125" bestFit="1" customWidth="1"/>
    <col min="15" max="15" width="97.5703125" bestFit="1" customWidth="1"/>
  </cols>
  <sheetData>
    <row r="1" spans="1:15">
      <c r="A1" t="s">
        <v>248</v>
      </c>
      <c r="B1" t="s">
        <v>249</v>
      </c>
    </row>
    <row r="2" spans="1:15" ht="31.5">
      <c r="A2" t="s">
        <v>230</v>
      </c>
      <c r="B2" s="7">
        <v>0.6</v>
      </c>
      <c r="D2" s="8" t="s">
        <v>250</v>
      </c>
      <c r="O2" s="8" t="s">
        <v>295</v>
      </c>
    </row>
    <row r="3" spans="1:15">
      <c r="A3" t="s">
        <v>231</v>
      </c>
      <c r="B3" s="7">
        <v>0.8</v>
      </c>
      <c r="O3" s="10"/>
    </row>
    <row r="4" spans="1:15" ht="23.25">
      <c r="A4" t="s">
        <v>232</v>
      </c>
      <c r="B4" s="7">
        <v>120</v>
      </c>
      <c r="D4" s="9" t="s">
        <v>251</v>
      </c>
      <c r="O4" s="13" t="s">
        <v>296</v>
      </c>
    </row>
    <row r="5" spans="1:15">
      <c r="A5" t="s">
        <v>233</v>
      </c>
      <c r="B5" s="7">
        <v>15</v>
      </c>
      <c r="D5" s="10"/>
      <c r="O5" s="10" t="s">
        <v>297</v>
      </c>
    </row>
    <row r="6" spans="1:15">
      <c r="A6" t="s">
        <v>234</v>
      </c>
      <c r="B6" s="7">
        <v>2</v>
      </c>
      <c r="D6" s="11" t="s">
        <v>252</v>
      </c>
      <c r="O6" s="10"/>
    </row>
    <row r="7" spans="1:15">
      <c r="A7" t="s">
        <v>235</v>
      </c>
      <c r="B7" s="7">
        <v>30</v>
      </c>
      <c r="D7" s="10" t="s">
        <v>253</v>
      </c>
      <c r="O7" s="13" t="s">
        <v>298</v>
      </c>
    </row>
    <row r="8" spans="1:15">
      <c r="A8" t="s">
        <v>236</v>
      </c>
      <c r="B8" s="7">
        <v>1</v>
      </c>
      <c r="D8" s="10"/>
      <c r="O8" s="10" t="s">
        <v>299</v>
      </c>
    </row>
    <row r="9" spans="1:15">
      <c r="A9" t="s">
        <v>237</v>
      </c>
      <c r="B9" s="7">
        <v>1200</v>
      </c>
      <c r="D9" s="11" t="s">
        <v>254</v>
      </c>
      <c r="O9" s="10"/>
    </row>
    <row r="10" spans="1:15">
      <c r="A10" t="s">
        <v>238</v>
      </c>
      <c r="B10" s="7">
        <v>7</v>
      </c>
      <c r="D10" s="10" t="s">
        <v>255</v>
      </c>
      <c r="O10" s="13" t="s">
        <v>300</v>
      </c>
    </row>
    <row r="11" spans="1:15">
      <c r="A11" t="s">
        <v>239</v>
      </c>
      <c r="B11" s="7">
        <v>12</v>
      </c>
      <c r="D11" s="10"/>
      <c r="O11" s="10" t="s">
        <v>301</v>
      </c>
    </row>
    <row r="12" spans="1:15">
      <c r="A12" t="s">
        <v>240</v>
      </c>
      <c r="B12" s="7">
        <v>10</v>
      </c>
      <c r="D12" s="11" t="s">
        <v>256</v>
      </c>
      <c r="O12" s="10"/>
    </row>
    <row r="13" spans="1:15">
      <c r="A13" t="s">
        <v>241</v>
      </c>
      <c r="B13" s="7">
        <v>8</v>
      </c>
      <c r="D13" s="10" t="s">
        <v>257</v>
      </c>
      <c r="O13" s="13" t="s">
        <v>302</v>
      </c>
    </row>
    <row r="14" spans="1:15">
      <c r="A14" t="s">
        <v>242</v>
      </c>
      <c r="B14" s="7">
        <v>12</v>
      </c>
      <c r="D14" s="10"/>
      <c r="O14" s="10" t="s">
        <v>303</v>
      </c>
    </row>
    <row r="15" spans="1:15">
      <c r="A15" t="s">
        <v>243</v>
      </c>
      <c r="B15">
        <v>0.8</v>
      </c>
      <c r="D15" s="10" t="s">
        <v>258</v>
      </c>
      <c r="O15" s="10"/>
    </row>
    <row r="16" spans="1:15">
      <c r="A16" t="s">
        <v>244</v>
      </c>
      <c r="B16" t="b">
        <v>1</v>
      </c>
      <c r="D16" s="12"/>
      <c r="O16" s="13" t="s">
        <v>304</v>
      </c>
    </row>
    <row r="17" spans="1:15">
      <c r="A17" t="s">
        <v>245</v>
      </c>
      <c r="B17">
        <v>1.6</v>
      </c>
      <c r="D17" s="12" t="s">
        <v>259</v>
      </c>
      <c r="O17" s="10" t="s">
        <v>305</v>
      </c>
    </row>
    <row r="18" spans="1:15">
      <c r="A18" t="s">
        <v>246</v>
      </c>
      <c r="B18">
        <v>1</v>
      </c>
      <c r="O18" s="10"/>
    </row>
    <row r="19" spans="1:15" ht="16.899999999999999" customHeight="1">
      <c r="A19" t="s">
        <v>247</v>
      </c>
      <c r="B19">
        <v>1.5</v>
      </c>
      <c r="D19" s="9" t="s">
        <v>260</v>
      </c>
      <c r="O19" s="13" t="s">
        <v>306</v>
      </c>
    </row>
    <row r="20" spans="1:15">
      <c r="A20" t="s">
        <v>290</v>
      </c>
      <c r="B20">
        <v>2</v>
      </c>
      <c r="D20" s="10"/>
      <c r="O20" s="10" t="s">
        <v>307</v>
      </c>
    </row>
    <row r="21" spans="1:15">
      <c r="A21" t="s">
        <v>291</v>
      </c>
      <c r="B21">
        <v>12</v>
      </c>
      <c r="D21" s="11" t="s">
        <v>261</v>
      </c>
      <c r="O21" s="10"/>
    </row>
    <row r="22" spans="1:15">
      <c r="A22" t="s">
        <v>292</v>
      </c>
      <c r="B22">
        <v>9</v>
      </c>
      <c r="D22" s="10" t="s">
        <v>262</v>
      </c>
      <c r="O22" s="13" t="s">
        <v>308</v>
      </c>
    </row>
    <row r="23" spans="1:15">
      <c r="A23" t="s">
        <v>293</v>
      </c>
      <c r="B23">
        <v>6</v>
      </c>
      <c r="D23" s="10"/>
      <c r="O23" s="10" t="s">
        <v>309</v>
      </c>
    </row>
    <row r="24" spans="1:15">
      <c r="A24" t="s">
        <v>294</v>
      </c>
      <c r="B24">
        <v>5</v>
      </c>
      <c r="D24" s="11" t="s">
        <v>263</v>
      </c>
      <c r="O24" s="10"/>
    </row>
    <row r="25" spans="1:15">
      <c r="A25" t="s">
        <v>353</v>
      </c>
      <c r="B25">
        <v>240</v>
      </c>
      <c r="D25" s="10" t="s">
        <v>264</v>
      </c>
      <c r="O25" s="13" t="s">
        <v>310</v>
      </c>
    </row>
    <row r="26" spans="1:15">
      <c r="A26" t="s">
        <v>354</v>
      </c>
      <c r="B26">
        <v>0.75</v>
      </c>
      <c r="O26" s="10" t="s">
        <v>311</v>
      </c>
    </row>
    <row r="27" spans="1:15" ht="23.25">
      <c r="A27" t="s">
        <v>402</v>
      </c>
      <c r="D27" s="9" t="s">
        <v>265</v>
      </c>
      <c r="O27" s="10"/>
    </row>
    <row r="28" spans="1:15">
      <c r="A28" t="s">
        <v>403</v>
      </c>
      <c r="B28">
        <v>0</v>
      </c>
      <c r="D28" s="10"/>
      <c r="O28" s="13" t="s">
        <v>312</v>
      </c>
    </row>
    <row r="29" spans="1:15">
      <c r="D29" s="11" t="s">
        <v>266</v>
      </c>
      <c r="O29" s="10" t="s">
        <v>313</v>
      </c>
    </row>
    <row r="30" spans="1:15">
      <c r="D30" s="10" t="s">
        <v>267</v>
      </c>
      <c r="O30" s="10"/>
    </row>
    <row r="31" spans="1:15">
      <c r="D31" s="10"/>
      <c r="O31" s="13" t="s">
        <v>314</v>
      </c>
    </row>
    <row r="32" spans="1:15">
      <c r="D32" s="11" t="s">
        <v>268</v>
      </c>
      <c r="O32" s="10" t="s">
        <v>315</v>
      </c>
    </row>
    <row r="33" spans="4:15">
      <c r="D33" s="10" t="s">
        <v>269</v>
      </c>
      <c r="O33" s="10"/>
    </row>
    <row r="34" spans="4:15">
      <c r="D34" s="10"/>
      <c r="O34" s="13" t="s">
        <v>316</v>
      </c>
    </row>
    <row r="35" spans="4:15">
      <c r="D35" s="11" t="s">
        <v>270</v>
      </c>
      <c r="O35" s="10" t="s">
        <v>317</v>
      </c>
    </row>
    <row r="36" spans="4:15">
      <c r="D36" s="10" t="s">
        <v>271</v>
      </c>
      <c r="O36" s="10"/>
    </row>
    <row r="37" spans="4:15">
      <c r="D37" s="10"/>
      <c r="O37" s="13" t="s">
        <v>318</v>
      </c>
    </row>
    <row r="38" spans="4:15">
      <c r="D38" s="11" t="s">
        <v>272</v>
      </c>
      <c r="O38" s="10" t="s">
        <v>319</v>
      </c>
    </row>
    <row r="39" spans="4:15">
      <c r="D39" s="10" t="s">
        <v>273</v>
      </c>
      <c r="O39" s="10"/>
    </row>
    <row r="40" spans="4:15">
      <c r="D40" s="10"/>
      <c r="O40" s="13" t="s">
        <v>320</v>
      </c>
    </row>
    <row r="41" spans="4:15">
      <c r="D41" s="11" t="s">
        <v>274</v>
      </c>
      <c r="O41" s="10" t="s">
        <v>321</v>
      </c>
    </row>
    <row r="42" spans="4:15">
      <c r="D42" s="10" t="s">
        <v>275</v>
      </c>
      <c r="O42" s="10"/>
    </row>
    <row r="43" spans="4:15">
      <c r="O43" s="13" t="s">
        <v>322</v>
      </c>
    </row>
    <row r="44" spans="4:15" ht="23.25">
      <c r="D44" s="9" t="s">
        <v>276</v>
      </c>
      <c r="O44" s="10" t="s">
        <v>323</v>
      </c>
    </row>
    <row r="45" spans="4:15">
      <c r="D45" s="10"/>
      <c r="O45" s="10"/>
    </row>
    <row r="46" spans="4:15">
      <c r="D46" s="11" t="s">
        <v>277</v>
      </c>
      <c r="O46" s="13" t="s">
        <v>324</v>
      </c>
    </row>
    <row r="47" spans="4:15">
      <c r="D47" s="10" t="s">
        <v>278</v>
      </c>
      <c r="O47" s="10" t="s">
        <v>325</v>
      </c>
    </row>
    <row r="48" spans="4:15">
      <c r="D48" s="10"/>
      <c r="O48" s="10" t="s">
        <v>326</v>
      </c>
    </row>
    <row r="49" spans="4:15">
      <c r="D49" s="11" t="s">
        <v>279</v>
      </c>
      <c r="O49" s="10"/>
    </row>
    <row r="50" spans="4:15">
      <c r="D50" s="10" t="s">
        <v>280</v>
      </c>
      <c r="O50" s="13" t="s">
        <v>327</v>
      </c>
    </row>
    <row r="51" spans="4:15">
      <c r="D51" s="10"/>
      <c r="O51" s="10" t="s">
        <v>328</v>
      </c>
    </row>
    <row r="52" spans="4:15">
      <c r="D52" s="11" t="s">
        <v>281</v>
      </c>
      <c r="O52" s="10" t="s">
        <v>329</v>
      </c>
    </row>
    <row r="53" spans="4:15">
      <c r="D53" s="10" t="s">
        <v>282</v>
      </c>
      <c r="O53" s="10"/>
    </row>
    <row r="54" spans="4:15">
      <c r="D54" s="10"/>
      <c r="O54" s="13" t="s">
        <v>330</v>
      </c>
    </row>
    <row r="55" spans="4:15">
      <c r="D55" s="11" t="s">
        <v>283</v>
      </c>
      <c r="O55" s="10" t="s">
        <v>331</v>
      </c>
    </row>
    <row r="56" spans="4:15">
      <c r="D56" s="10" t="s">
        <v>284</v>
      </c>
      <c r="O56" s="10"/>
    </row>
    <row r="57" spans="4:15">
      <c r="O57" s="13" t="s">
        <v>332</v>
      </c>
    </row>
    <row r="58" spans="4:15" ht="23.25">
      <c r="D58" s="9" t="s">
        <v>285</v>
      </c>
      <c r="O58" s="10" t="s">
        <v>333</v>
      </c>
    </row>
    <row r="59" spans="4:15">
      <c r="D59" s="10"/>
    </row>
    <row r="60" spans="4:15" ht="31.5">
      <c r="D60" s="11" t="s">
        <v>286</v>
      </c>
      <c r="O60" s="8" t="s">
        <v>334</v>
      </c>
    </row>
    <row r="61" spans="4:15">
      <c r="D61" s="10" t="s">
        <v>287</v>
      </c>
      <c r="O61" s="10"/>
    </row>
    <row r="62" spans="4:15">
      <c r="D62" s="10"/>
      <c r="O62" s="13" t="s">
        <v>335</v>
      </c>
    </row>
    <row r="63" spans="4:15">
      <c r="D63" s="11" t="s">
        <v>288</v>
      </c>
      <c r="O63" s="10"/>
    </row>
    <row r="64" spans="4:15">
      <c r="D64" s="10" t="s">
        <v>289</v>
      </c>
      <c r="O64" s="13" t="s">
        <v>336</v>
      </c>
    </row>
    <row r="65" spans="15:15">
      <c r="O65" s="10"/>
    </row>
    <row r="66" spans="15:15">
      <c r="O66" s="13" t="s">
        <v>337</v>
      </c>
    </row>
    <row r="67" spans="15:15">
      <c r="O67" s="10"/>
    </row>
    <row r="68" spans="15:15">
      <c r="O68" s="13" t="s">
        <v>338</v>
      </c>
    </row>
    <row r="69" spans="15:15">
      <c r="O69" s="10"/>
    </row>
    <row r="70" spans="15:15">
      <c r="O70" s="13" t="s">
        <v>339</v>
      </c>
    </row>
    <row r="72" spans="15:15" ht="31.5">
      <c r="O72" s="8" t="s">
        <v>340</v>
      </c>
    </row>
    <row r="74" spans="15:15">
      <c r="O74" t="s">
        <v>341</v>
      </c>
    </row>
    <row r="75" spans="15:15">
      <c r="O75" s="10"/>
    </row>
    <row r="76" spans="15:15">
      <c r="O76" s="13" t="s">
        <v>342</v>
      </c>
    </row>
    <row r="77" spans="15:15">
      <c r="O77" s="10"/>
    </row>
    <row r="78" spans="15:15">
      <c r="O78" s="13" t="s">
        <v>343</v>
      </c>
    </row>
    <row r="79" spans="15:15">
      <c r="O79" s="10"/>
    </row>
    <row r="80" spans="15:15">
      <c r="O80" s="13" t="s">
        <v>344</v>
      </c>
    </row>
    <row r="82" spans="15:15">
      <c r="O82" t="s">
        <v>345</v>
      </c>
    </row>
    <row r="83" spans="15:15">
      <c r="O83" s="10"/>
    </row>
    <row r="84" spans="15:15">
      <c r="O84" s="13" t="s">
        <v>346</v>
      </c>
    </row>
    <row r="85" spans="15:15">
      <c r="O85" s="10"/>
    </row>
    <row r="86" spans="15:15">
      <c r="O86" s="13" t="s">
        <v>347</v>
      </c>
    </row>
    <row r="87" spans="15:15">
      <c r="O87" s="10"/>
    </row>
    <row r="88" spans="15:15">
      <c r="O88" s="13" t="s">
        <v>348</v>
      </c>
    </row>
    <row r="90" spans="15:15" ht="31.5">
      <c r="O90" s="8" t="s">
        <v>349</v>
      </c>
    </row>
    <row r="91" spans="15:15">
      <c r="O91" s="10"/>
    </row>
    <row r="92" spans="15:15">
      <c r="O92" s="10" t="s">
        <v>350</v>
      </c>
    </row>
    <row r="93" spans="15:15">
      <c r="O93" s="10"/>
    </row>
    <row r="94" spans="15:15">
      <c r="O94" s="10" t="s">
        <v>351</v>
      </c>
    </row>
    <row r="95" spans="15:15">
      <c r="O95" s="10"/>
    </row>
    <row r="96" spans="15:15">
      <c r="O96" s="10" t="s">
        <v>352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24A2-F8B7-45DB-862D-40E013A814C2}">
  <sheetPr codeName="Foglio11"/>
  <dimension ref="I1:P96"/>
  <sheetViews>
    <sheetView workbookViewId="0">
      <selection activeCell="I22" sqref="I22"/>
    </sheetView>
  </sheetViews>
  <sheetFormatPr defaultRowHeight="15"/>
  <cols>
    <col min="9" max="9" width="11.85546875" customWidth="1"/>
  </cols>
  <sheetData>
    <row r="1" spans="9:16">
      <c r="I1" t="s">
        <v>48</v>
      </c>
    </row>
    <row r="2" spans="9:16">
      <c r="I2" t="s">
        <v>355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9:16">
      <c r="I3" t="s">
        <v>356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9:16">
      <c r="I4" t="s">
        <v>357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9:16">
      <c r="I5" t="s">
        <v>358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9:16">
      <c r="I6" t="s">
        <v>359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9:16">
      <c r="I7" t="s">
        <v>360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9:16">
      <c r="I8" t="s">
        <v>361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9:16">
      <c r="I9" t="s">
        <v>362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9:16">
      <c r="I10" t="s">
        <v>363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9:16">
      <c r="I11" t="s">
        <v>364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9:16">
      <c r="I12" t="s">
        <v>365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9:16">
      <c r="I13" t="s">
        <v>366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9:16">
      <c r="I14" t="s">
        <v>367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9:16">
      <c r="I15" t="s">
        <v>368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9:16">
      <c r="I16" t="s">
        <v>369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9:16">
      <c r="I17" t="s">
        <v>370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9:16">
      <c r="I18" t="s">
        <v>371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9:16">
      <c r="I19" t="s">
        <v>372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9:16">
      <c r="I20" t="s">
        <v>373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9:16">
      <c r="I21" t="s">
        <v>374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9:16">
      <c r="I22" t="s">
        <v>375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9:16">
      <c r="I23" t="s">
        <v>376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9:16">
      <c r="I24" t="s">
        <v>377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9:16">
      <c r="I25" t="s">
        <v>378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9:16">
      <c r="I26" t="s">
        <v>379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9:16">
      <c r="I27" t="s">
        <v>380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9:16">
      <c r="I28" t="s">
        <v>381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9:16">
      <c r="I29" t="s">
        <v>382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9:16">
      <c r="I30" t="s">
        <v>383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9:16">
      <c r="I31" t="s">
        <v>384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9:16">
      <c r="I32" t="s">
        <v>385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9:16">
      <c r="I33" t="s">
        <v>386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9:16">
      <c r="I34" t="s">
        <v>387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9:16">
      <c r="I35" t="s">
        <v>388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9:16">
      <c r="I36" t="s">
        <v>389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9:16">
      <c r="I37" t="s">
        <v>0</v>
      </c>
      <c r="J37" s="4">
        <v>8</v>
      </c>
      <c r="K37" s="4">
        <v>8.9975751599111131</v>
      </c>
      <c r="L37" s="4">
        <v>8.9975751599111131</v>
      </c>
      <c r="M37" s="4">
        <v>8.9975751599111131</v>
      </c>
      <c r="N37" s="4">
        <v>8.9975751599111131</v>
      </c>
      <c r="O37" s="3">
        <v>7</v>
      </c>
      <c r="P37" s="4">
        <v>0</v>
      </c>
    </row>
    <row r="38" spans="9:16">
      <c r="I38" t="s">
        <v>1</v>
      </c>
      <c r="J38" s="4">
        <v>8</v>
      </c>
      <c r="K38" s="4">
        <v>8.9975751599111131</v>
      </c>
      <c r="L38" s="4">
        <v>8.9975751599111131</v>
      </c>
      <c r="M38" s="4">
        <v>8.9975751599111131</v>
      </c>
      <c r="N38" s="4">
        <v>8.9975751599111131</v>
      </c>
      <c r="O38" s="3">
        <v>7</v>
      </c>
      <c r="P38" s="4">
        <v>0</v>
      </c>
    </row>
    <row r="39" spans="9:16">
      <c r="I39" t="s">
        <v>2</v>
      </c>
      <c r="J39" s="4">
        <v>14</v>
      </c>
      <c r="K39" s="4">
        <v>14.802545548263055</v>
      </c>
      <c r="L39" s="4">
        <v>14.802545548263055</v>
      </c>
      <c r="M39" s="4">
        <v>14.802545548263055</v>
      </c>
      <c r="N39" s="4">
        <v>14.802545548263055</v>
      </c>
      <c r="O39" s="3">
        <v>8</v>
      </c>
      <c r="P39" s="4">
        <v>0</v>
      </c>
    </row>
    <row r="40" spans="9:16">
      <c r="I40" t="s">
        <v>3</v>
      </c>
      <c r="J40" s="4">
        <v>14</v>
      </c>
      <c r="K40" s="4">
        <v>14.802545548263055</v>
      </c>
      <c r="L40" s="4">
        <v>14.802545548263055</v>
      </c>
      <c r="M40" s="4">
        <v>14.802545548263055</v>
      </c>
      <c r="N40" s="4">
        <v>14.802545548263055</v>
      </c>
      <c r="O40" s="3">
        <v>9</v>
      </c>
      <c r="P40" s="4">
        <v>0</v>
      </c>
    </row>
    <row r="41" spans="9:16">
      <c r="I41" t="s">
        <v>4</v>
      </c>
      <c r="J41" s="4">
        <v>18</v>
      </c>
      <c r="K41" s="4">
        <v>18.430630148014643</v>
      </c>
      <c r="L41" s="4">
        <v>18.430630148014643</v>
      </c>
      <c r="M41" s="4">
        <v>18.430630148014643</v>
      </c>
      <c r="N41" s="4">
        <v>18.430630148014643</v>
      </c>
      <c r="O41" s="3">
        <v>11</v>
      </c>
      <c r="P41" s="4">
        <v>0</v>
      </c>
    </row>
    <row r="42" spans="9:16">
      <c r="I42" t="s">
        <v>5</v>
      </c>
      <c r="J42" s="4">
        <v>18</v>
      </c>
      <c r="K42" s="4">
        <v>18.430630148014643</v>
      </c>
      <c r="L42" s="4">
        <v>18.430630148014643</v>
      </c>
      <c r="M42" s="4">
        <v>18.430630148014643</v>
      </c>
      <c r="N42" s="4">
        <v>18.430630148014643</v>
      </c>
      <c r="O42" s="3">
        <v>11</v>
      </c>
      <c r="P42" s="4">
        <v>0</v>
      </c>
    </row>
    <row r="43" spans="9:16">
      <c r="I43" t="s">
        <v>6</v>
      </c>
      <c r="J43" s="4">
        <v>17</v>
      </c>
      <c r="K43" s="4">
        <v>17.592874232195797</v>
      </c>
      <c r="L43" s="4">
        <v>17.592874232195797</v>
      </c>
      <c r="M43" s="4">
        <v>17.592874232195797</v>
      </c>
      <c r="N43" s="4">
        <v>17.592874232195797</v>
      </c>
      <c r="O43" s="3">
        <v>11</v>
      </c>
      <c r="P43" s="4">
        <v>0</v>
      </c>
    </row>
    <row r="44" spans="9:16">
      <c r="I44" t="s">
        <v>7</v>
      </c>
      <c r="J44" s="4">
        <v>17</v>
      </c>
      <c r="K44" s="4">
        <v>17.415907283776445</v>
      </c>
      <c r="L44" s="4">
        <v>17.415907283776445</v>
      </c>
      <c r="M44" s="4">
        <v>17.415907283776445</v>
      </c>
      <c r="N44" s="4">
        <v>17.415907283776445</v>
      </c>
      <c r="O44" s="3">
        <v>9</v>
      </c>
      <c r="P44" s="4">
        <v>0</v>
      </c>
    </row>
    <row r="45" spans="9:16">
      <c r="I45" t="s">
        <v>8</v>
      </c>
      <c r="J45" s="4">
        <v>16</v>
      </c>
      <c r="K45" s="4">
        <v>16.755118316376951</v>
      </c>
      <c r="L45" s="4">
        <v>16.755118316376951</v>
      </c>
      <c r="M45" s="4">
        <v>16.755118316376951</v>
      </c>
      <c r="N45" s="4">
        <v>16.755118316376951</v>
      </c>
      <c r="O45" s="3">
        <v>7</v>
      </c>
      <c r="P45" s="4">
        <v>6.5802592223330025</v>
      </c>
    </row>
    <row r="46" spans="9:16">
      <c r="I46" t="s">
        <v>9</v>
      </c>
      <c r="J46" s="4">
        <v>16</v>
      </c>
      <c r="K46" s="4">
        <v>16.586578365501378</v>
      </c>
      <c r="L46" s="4">
        <v>16.586578365501378</v>
      </c>
      <c r="M46" s="4">
        <v>16.586578365501378</v>
      </c>
      <c r="N46" s="4">
        <v>16.586578365501378</v>
      </c>
      <c r="O46" s="3">
        <v>9</v>
      </c>
      <c r="P46" s="4">
        <v>6.5227059346741134</v>
      </c>
    </row>
    <row r="47" spans="9:16">
      <c r="I47" t="s">
        <v>10</v>
      </c>
      <c r="J47" s="4">
        <v>14</v>
      </c>
      <c r="K47" s="4">
        <v>14.521102540860023</v>
      </c>
      <c r="L47" s="4">
        <v>14.521102540860023</v>
      </c>
      <c r="M47" s="4">
        <v>14.521102540860023</v>
      </c>
      <c r="N47" s="4">
        <v>14.521102540860023</v>
      </c>
      <c r="O47" s="3">
        <v>12</v>
      </c>
      <c r="P47" s="4">
        <v>3.2901296111665013</v>
      </c>
    </row>
    <row r="48" spans="9:16">
      <c r="I48" t="s">
        <v>11</v>
      </c>
      <c r="J48" s="4">
        <v>14</v>
      </c>
      <c r="K48" s="4">
        <v>14.685244619317372</v>
      </c>
      <c r="L48" s="4">
        <v>14.685244619317372</v>
      </c>
      <c r="M48" s="4">
        <v>14.685244619317372</v>
      </c>
      <c r="N48" s="4">
        <v>14.685244619317372</v>
      </c>
      <c r="O48" s="3">
        <v>11</v>
      </c>
      <c r="P48" s="4">
        <v>3.2901296111665013</v>
      </c>
    </row>
    <row r="49" spans="9:16">
      <c r="I49" t="s">
        <v>12</v>
      </c>
      <c r="J49" s="4">
        <v>14</v>
      </c>
      <c r="K49" s="4">
        <v>14.557260664716745</v>
      </c>
      <c r="L49" s="4">
        <v>14.557260664716745</v>
      </c>
      <c r="M49" s="4">
        <v>14.557260664716745</v>
      </c>
      <c r="N49" s="4">
        <v>14.557260664716745</v>
      </c>
      <c r="O49" s="3">
        <v>11</v>
      </c>
      <c r="P49" s="4">
        <v>3.9860980711897356</v>
      </c>
    </row>
    <row r="50" spans="9:16">
      <c r="I50" t="s">
        <v>13</v>
      </c>
      <c r="J50" s="4">
        <v>14</v>
      </c>
      <c r="K50" s="4">
        <v>14.685244619317372</v>
      </c>
      <c r="L50" s="4">
        <v>14.685244619317372</v>
      </c>
      <c r="M50" s="4">
        <v>14.685244619317372</v>
      </c>
      <c r="N50" s="4">
        <v>14.685244619317372</v>
      </c>
      <c r="O50" s="3">
        <v>11</v>
      </c>
      <c r="P50" s="4">
        <v>3.9860980711897356</v>
      </c>
    </row>
    <row r="51" spans="9:16">
      <c r="I51" t="s">
        <v>14</v>
      </c>
      <c r="J51" s="4">
        <v>12</v>
      </c>
      <c r="K51" s="4">
        <v>12.387668931033</v>
      </c>
      <c r="L51" s="4">
        <v>12.387668931033</v>
      </c>
      <c r="M51" s="4">
        <v>12.387668931033</v>
      </c>
      <c r="N51" s="4">
        <v>12.387668931033</v>
      </c>
      <c r="O51" s="3">
        <v>12</v>
      </c>
      <c r="P51" s="4">
        <v>1.4494902077053584</v>
      </c>
    </row>
    <row r="52" spans="9:16">
      <c r="I52" t="s">
        <v>15</v>
      </c>
      <c r="J52" s="4">
        <v>12</v>
      </c>
      <c r="K52" s="4">
        <v>12.373170254849676</v>
      </c>
      <c r="L52" s="4">
        <v>12.373170254849676</v>
      </c>
      <c r="M52" s="4">
        <v>12.373170254849676</v>
      </c>
      <c r="N52" s="4">
        <v>12.373170254849676</v>
      </c>
      <c r="O52" s="3">
        <v>12</v>
      </c>
      <c r="P52" s="4">
        <v>1.5157778696431035</v>
      </c>
    </row>
    <row r="53" spans="9:16">
      <c r="I53" t="s">
        <v>16</v>
      </c>
      <c r="J53" s="4">
        <v>6</v>
      </c>
      <c r="K53" s="4">
        <v>6.4613128679821461</v>
      </c>
      <c r="L53" s="4">
        <v>6.4613128679821461</v>
      </c>
      <c r="M53" s="4">
        <v>6.4613128679821461</v>
      </c>
      <c r="N53" s="4">
        <v>6.4613128679821461</v>
      </c>
      <c r="O53" s="3">
        <v>5</v>
      </c>
      <c r="P53" s="4">
        <v>2.4303254111037469</v>
      </c>
    </row>
    <row r="54" spans="9:16">
      <c r="I54" t="s">
        <v>17</v>
      </c>
      <c r="J54" s="4">
        <v>6</v>
      </c>
      <c r="K54" s="4">
        <v>6.4613128679821461</v>
      </c>
      <c r="L54" s="4">
        <v>6.4613128679821461</v>
      </c>
      <c r="M54" s="4">
        <v>6.4613128679821461</v>
      </c>
      <c r="N54" s="4">
        <v>6.4613128679821461</v>
      </c>
      <c r="O54" s="3">
        <v>5</v>
      </c>
      <c r="P54" s="4">
        <v>2.5001623482044293</v>
      </c>
    </row>
    <row r="55" spans="9:16">
      <c r="I55" t="s">
        <v>18</v>
      </c>
      <c r="J55" s="4">
        <v>5</v>
      </c>
      <c r="K55" s="4">
        <v>5.0531987662863287</v>
      </c>
      <c r="L55" s="4">
        <v>5.0531987662863287</v>
      </c>
      <c r="M55" s="4">
        <v>5.0531987662863287</v>
      </c>
      <c r="N55" s="4">
        <v>5.0531987662863287</v>
      </c>
      <c r="O55" s="3">
        <v>3</v>
      </c>
      <c r="P55" s="4">
        <v>2.1742353115580375</v>
      </c>
    </row>
    <row r="56" spans="9:16">
      <c r="I56" t="s">
        <v>19</v>
      </c>
      <c r="J56" s="4">
        <v>5</v>
      </c>
      <c r="K56" s="4">
        <v>5.0531987662863287</v>
      </c>
      <c r="L56" s="4">
        <v>5.0531987662863287</v>
      </c>
      <c r="M56" s="4">
        <v>5.0531987662863287</v>
      </c>
      <c r="N56" s="4">
        <v>5.0531987662863287</v>
      </c>
      <c r="O56" s="3">
        <v>3</v>
      </c>
      <c r="P56" s="4">
        <v>2.1742353115580375</v>
      </c>
    </row>
    <row r="57" spans="9:16">
      <c r="I57" t="s">
        <v>20</v>
      </c>
      <c r="J57" s="4">
        <v>5</v>
      </c>
      <c r="K57" s="4">
        <v>5.9933427815878506</v>
      </c>
      <c r="L57" s="4">
        <v>5.9933427815878506</v>
      </c>
      <c r="M57" s="4">
        <v>5.9933427815878506</v>
      </c>
      <c r="N57" s="4">
        <v>5.9933427815878506</v>
      </c>
      <c r="O57" s="3">
        <v>2</v>
      </c>
      <c r="P57" s="4">
        <v>2.5589896975739457</v>
      </c>
    </row>
    <row r="58" spans="9:16">
      <c r="I58" t="s">
        <v>21</v>
      </c>
      <c r="J58" s="4">
        <v>6</v>
      </c>
      <c r="K58" s="4">
        <v>6.0288063483428083</v>
      </c>
      <c r="L58" s="4">
        <v>6.0288063483428083</v>
      </c>
      <c r="M58" s="4">
        <v>6.0288063483428083</v>
      </c>
      <c r="N58" s="4">
        <v>6.0288063483428083</v>
      </c>
      <c r="O58" s="3">
        <v>3</v>
      </c>
      <c r="P58" s="4">
        <v>2.5589896975739457</v>
      </c>
    </row>
    <row r="59" spans="9:16">
      <c r="I59" t="s">
        <v>22</v>
      </c>
      <c r="J59" s="4">
        <v>6</v>
      </c>
      <c r="K59" s="4">
        <v>6.3327585213409483</v>
      </c>
      <c r="L59" s="4">
        <v>6.3327585213409483</v>
      </c>
      <c r="M59" s="4">
        <v>6.3327585213409483</v>
      </c>
      <c r="N59" s="4">
        <v>6.3327585213409483</v>
      </c>
      <c r="O59" s="3">
        <v>3</v>
      </c>
      <c r="P59" s="4">
        <v>1.4622798271851116</v>
      </c>
    </row>
    <row r="60" spans="9:16">
      <c r="I60" t="s">
        <v>23</v>
      </c>
      <c r="J60" s="4">
        <v>6</v>
      </c>
      <c r="K60" s="4">
        <v>6.3327585213409483</v>
      </c>
      <c r="L60" s="4">
        <v>6.3327585213409483</v>
      </c>
      <c r="M60" s="4">
        <v>6.3327585213409483</v>
      </c>
      <c r="N60" s="4">
        <v>6.3327585213409483</v>
      </c>
      <c r="O60" s="3">
        <v>3</v>
      </c>
      <c r="P60" s="4">
        <v>1.4709323705412363</v>
      </c>
    </row>
    <row r="61" spans="9:16">
      <c r="I61" t="s">
        <v>24</v>
      </c>
      <c r="J61" s="4">
        <v>7</v>
      </c>
      <c r="K61" s="4">
        <v>7.6728090307287991</v>
      </c>
      <c r="L61" s="4">
        <v>7.6728090307287991</v>
      </c>
      <c r="M61" s="4">
        <v>7.6728090307287991</v>
      </c>
      <c r="N61" s="4">
        <v>7.6728090307287991</v>
      </c>
      <c r="O61" s="3">
        <v>4</v>
      </c>
      <c r="P61" s="4">
        <v>3.2613529673370572</v>
      </c>
    </row>
    <row r="62" spans="9:16">
      <c r="I62" t="s">
        <v>25</v>
      </c>
      <c r="J62" s="4">
        <v>7</v>
      </c>
      <c r="K62" s="4">
        <v>7.6728090307287991</v>
      </c>
      <c r="L62" s="4">
        <v>7.6728090307287991</v>
      </c>
      <c r="M62" s="4">
        <v>7.6728090307287991</v>
      </c>
      <c r="N62" s="4">
        <v>7.6728090307287991</v>
      </c>
      <c r="O62" s="3">
        <v>5</v>
      </c>
      <c r="P62" s="4">
        <v>3.2613529673370572</v>
      </c>
    </row>
    <row r="63" spans="9:16">
      <c r="I63" t="s">
        <v>26</v>
      </c>
      <c r="J63" s="4">
        <v>8</v>
      </c>
      <c r="K63" s="4">
        <v>8.5046534618197693</v>
      </c>
      <c r="L63" s="4">
        <v>8.5046534618197693</v>
      </c>
      <c r="M63" s="4">
        <v>8.5046534618197693</v>
      </c>
      <c r="N63" s="4">
        <v>8.5046534618197693</v>
      </c>
      <c r="O63" s="3">
        <v>5</v>
      </c>
      <c r="P63" s="4">
        <v>1.087117655779019</v>
      </c>
    </row>
    <row r="64" spans="9:16">
      <c r="I64" t="s">
        <v>27</v>
      </c>
      <c r="J64" s="4">
        <v>8</v>
      </c>
      <c r="K64" s="4">
        <v>8.5837256530970176</v>
      </c>
      <c r="L64" s="4">
        <v>8.5837256530970176</v>
      </c>
      <c r="M64" s="4">
        <v>8.5837256530970176</v>
      </c>
      <c r="N64" s="4">
        <v>8.5837256530970176</v>
      </c>
      <c r="O64" s="3">
        <v>5</v>
      </c>
      <c r="P64" s="4">
        <v>1.0967098703888338</v>
      </c>
    </row>
    <row r="65" spans="9:16">
      <c r="I65" t="s">
        <v>28</v>
      </c>
      <c r="J65" s="4">
        <v>11</v>
      </c>
      <c r="K65" s="4">
        <v>11.506109798451659</v>
      </c>
      <c r="L65" s="4">
        <v>11.506109798451659</v>
      </c>
      <c r="M65" s="4">
        <v>11.506109798451659</v>
      </c>
      <c r="N65" s="4">
        <v>11.506109798451659</v>
      </c>
      <c r="O65" s="3">
        <v>5</v>
      </c>
      <c r="P65" s="4">
        <v>1.846469645957431</v>
      </c>
    </row>
    <row r="66" spans="9:16">
      <c r="I66" t="s">
        <v>29</v>
      </c>
      <c r="J66" s="4">
        <v>11</v>
      </c>
      <c r="K66" s="4">
        <v>11.580278963461017</v>
      </c>
      <c r="L66" s="4">
        <v>11.580278963461017</v>
      </c>
      <c r="M66" s="4">
        <v>11.580278963461017</v>
      </c>
      <c r="N66" s="4">
        <v>11.580278963461017</v>
      </c>
      <c r="O66" s="3">
        <v>5</v>
      </c>
      <c r="P66" s="4">
        <v>1.846469645957431</v>
      </c>
    </row>
    <row r="67" spans="9:16">
      <c r="I67" t="s">
        <v>30</v>
      </c>
      <c r="J67" s="4">
        <v>13</v>
      </c>
      <c r="K67" s="4">
        <v>13.620283370968716</v>
      </c>
      <c r="L67" s="4">
        <v>13.620283370968716</v>
      </c>
      <c r="M67" s="4">
        <v>13.620283370968716</v>
      </c>
      <c r="N67" s="4">
        <v>13.620283370968716</v>
      </c>
      <c r="O67" s="3">
        <v>6</v>
      </c>
      <c r="P67" s="4">
        <v>3.692939291914862</v>
      </c>
    </row>
    <row r="68" spans="9:16">
      <c r="I68" t="s">
        <v>31</v>
      </c>
      <c r="J68" s="4">
        <v>13</v>
      </c>
      <c r="K68" s="4">
        <v>13.707344841379737</v>
      </c>
      <c r="L68" s="4">
        <v>13.707344841379737</v>
      </c>
      <c r="M68" s="4">
        <v>13.707344841379737</v>
      </c>
      <c r="N68" s="4">
        <v>13.707344841379737</v>
      </c>
      <c r="O68" s="3">
        <v>5</v>
      </c>
      <c r="P68" s="4">
        <v>3.789444674107759</v>
      </c>
    </row>
    <row r="69" spans="9:16">
      <c r="I69" t="s">
        <v>32</v>
      </c>
      <c r="J69" s="4">
        <v>12</v>
      </c>
      <c r="K69" s="4">
        <v>12.879085891840422</v>
      </c>
      <c r="L69" s="4">
        <v>12.879085891840422</v>
      </c>
      <c r="M69" s="4">
        <v>12.879085891840422</v>
      </c>
      <c r="N69" s="4">
        <v>12.879085891840422</v>
      </c>
      <c r="O69" s="3">
        <v>7</v>
      </c>
      <c r="P69" s="4">
        <v>1.1078817875744587</v>
      </c>
    </row>
    <row r="70" spans="9:16">
      <c r="I70" t="s">
        <v>33</v>
      </c>
      <c r="J70" s="4">
        <v>13</v>
      </c>
      <c r="K70" s="4">
        <v>13.010594597339134</v>
      </c>
      <c r="L70" s="4">
        <v>13.010594597339134</v>
      </c>
      <c r="M70" s="4">
        <v>13.010594597339134</v>
      </c>
      <c r="N70" s="4">
        <v>13.010594597339134</v>
      </c>
      <c r="O70" s="3">
        <v>6</v>
      </c>
      <c r="P70" s="4">
        <v>1.1114198388441234</v>
      </c>
    </row>
    <row r="71" spans="9:16">
      <c r="I71" t="s">
        <v>34</v>
      </c>
      <c r="J71" s="4">
        <v>14</v>
      </c>
      <c r="K71" s="4">
        <v>14.249832045343291</v>
      </c>
      <c r="L71" s="4">
        <v>14.249832045343291</v>
      </c>
      <c r="M71" s="4">
        <v>14.249832045343291</v>
      </c>
      <c r="N71" s="4">
        <v>14.249832045343291</v>
      </c>
      <c r="O71" s="3">
        <v>7</v>
      </c>
      <c r="P71" s="4">
        <v>2.5850575043404032</v>
      </c>
    </row>
    <row r="72" spans="9:16">
      <c r="I72" t="s">
        <v>35</v>
      </c>
      <c r="J72" s="4">
        <v>14</v>
      </c>
      <c r="K72" s="4">
        <v>14.200022385742072</v>
      </c>
      <c r="L72" s="4">
        <v>14.200022385742072</v>
      </c>
      <c r="M72" s="4">
        <v>14.200022385742072</v>
      </c>
      <c r="N72" s="4">
        <v>14.200022385742072</v>
      </c>
      <c r="O72" s="3">
        <v>6</v>
      </c>
      <c r="P72" s="4">
        <v>2.5589896975739457</v>
      </c>
    </row>
    <row r="73" spans="9:16">
      <c r="I73" t="s">
        <v>36</v>
      </c>
      <c r="J73" s="4">
        <v>12</v>
      </c>
      <c r="K73" s="4">
        <v>12.199492294586488</v>
      </c>
      <c r="L73" s="4">
        <v>12.199492294586488</v>
      </c>
      <c r="M73" s="4">
        <v>12.199492294586488</v>
      </c>
      <c r="N73" s="4">
        <v>12.199492294586488</v>
      </c>
      <c r="O73" s="3">
        <v>6</v>
      </c>
      <c r="P73" s="4">
        <v>0.36773309263530907</v>
      </c>
    </row>
    <row r="74" spans="9:16">
      <c r="I74" t="s">
        <v>37</v>
      </c>
      <c r="J74" s="4">
        <v>12</v>
      </c>
      <c r="K74" s="4">
        <v>12.14221409738516</v>
      </c>
      <c r="L74" s="4">
        <v>12.14221409738516</v>
      </c>
      <c r="M74" s="4">
        <v>12.14221409738516</v>
      </c>
      <c r="N74" s="4">
        <v>12.14221409738516</v>
      </c>
      <c r="O74" s="3">
        <v>5</v>
      </c>
      <c r="P74" s="4">
        <v>0.36773309263530907</v>
      </c>
    </row>
    <row r="75" spans="9:16">
      <c r="I75" t="s">
        <v>38</v>
      </c>
      <c r="J75" s="4">
        <v>9</v>
      </c>
      <c r="K75" s="4">
        <v>9.1531190046731279</v>
      </c>
      <c r="L75" s="4">
        <v>9.1531190046731279</v>
      </c>
      <c r="M75" s="4">
        <v>9.1531190046731279</v>
      </c>
      <c r="N75" s="4">
        <v>9.1531190046731279</v>
      </c>
      <c r="O75" s="3">
        <v>5</v>
      </c>
      <c r="P75" s="4">
        <v>1.4709323705412363</v>
      </c>
    </row>
    <row r="76" spans="9:16">
      <c r="I76" t="s">
        <v>39</v>
      </c>
      <c r="J76" s="4">
        <v>9</v>
      </c>
      <c r="K76" s="4">
        <v>9.1531190046731279</v>
      </c>
      <c r="L76" s="4">
        <v>9.1531190046731279</v>
      </c>
      <c r="M76" s="4">
        <v>9.1531190046731279</v>
      </c>
      <c r="N76" s="4">
        <v>9.1531190046731279</v>
      </c>
      <c r="O76" s="3">
        <v>4</v>
      </c>
      <c r="P76" s="4">
        <v>1.4494902077053584</v>
      </c>
    </row>
    <row r="77" spans="9:16">
      <c r="I77" t="s">
        <v>40</v>
      </c>
      <c r="J77" s="4">
        <v>8</v>
      </c>
      <c r="K77" s="4">
        <v>8.3841041262808087</v>
      </c>
      <c r="L77" s="4">
        <v>8.3841041262808087</v>
      </c>
      <c r="M77" s="4">
        <v>8.3841041262808087</v>
      </c>
      <c r="N77" s="4">
        <v>8.3841041262808087</v>
      </c>
      <c r="O77" s="3">
        <v>4</v>
      </c>
      <c r="P77" s="4">
        <v>2.6526112718754313</v>
      </c>
    </row>
    <row r="78" spans="9:16">
      <c r="I78" t="s">
        <v>41</v>
      </c>
      <c r="J78" s="4">
        <v>8</v>
      </c>
      <c r="K78" s="4">
        <v>8.4363958360081313</v>
      </c>
      <c r="L78" s="4">
        <v>8.4363958360081313</v>
      </c>
      <c r="M78" s="4">
        <v>8.4363958360081313</v>
      </c>
      <c r="N78" s="4">
        <v>8.4363958360081313</v>
      </c>
      <c r="O78" s="3">
        <v>3</v>
      </c>
      <c r="P78" s="4">
        <v>2.6526112718754313</v>
      </c>
    </row>
    <row r="79" spans="9:16">
      <c r="I79" t="s">
        <v>42</v>
      </c>
      <c r="J79" s="4">
        <v>3</v>
      </c>
      <c r="K79" s="4">
        <v>3.7740944913689654</v>
      </c>
      <c r="L79" s="4">
        <v>3.7740944913689654</v>
      </c>
      <c r="M79" s="4">
        <v>3.7740944913689654</v>
      </c>
      <c r="N79" s="4">
        <v>3.7740944913689654</v>
      </c>
      <c r="O79" s="3">
        <v>2</v>
      </c>
      <c r="P79" s="4">
        <v>0</v>
      </c>
    </row>
    <row r="80" spans="9:16">
      <c r="I80" t="s">
        <v>43</v>
      </c>
      <c r="J80" s="4">
        <v>3</v>
      </c>
      <c r="K80" s="4">
        <v>3.7740944913689654</v>
      </c>
      <c r="L80" s="4">
        <v>3.7740944913689654</v>
      </c>
      <c r="M80" s="4">
        <v>3.7740944913689654</v>
      </c>
      <c r="N80" s="4">
        <v>3.7740944913689654</v>
      </c>
      <c r="O80" s="3">
        <v>2</v>
      </c>
      <c r="P80" s="4">
        <v>0</v>
      </c>
    </row>
    <row r="81" spans="9:16">
      <c r="I81" t="s">
        <v>44</v>
      </c>
      <c r="J81" s="4">
        <v>2</v>
      </c>
      <c r="K81" s="4">
        <v>2.6421450866405651</v>
      </c>
      <c r="L81" s="4">
        <v>2.6421450866405651</v>
      </c>
      <c r="M81" s="4">
        <v>2.6421450866405651</v>
      </c>
      <c r="N81" s="4">
        <v>2.6421450866405651</v>
      </c>
      <c r="O81" s="3">
        <v>2</v>
      </c>
      <c r="P81" s="4">
        <v>0.75788893482155173</v>
      </c>
    </row>
    <row r="82" spans="9:16">
      <c r="I82" t="s">
        <v>45</v>
      </c>
      <c r="J82" s="4">
        <v>2</v>
      </c>
      <c r="K82" s="4">
        <v>2.6421450866405651</v>
      </c>
      <c r="L82" s="4">
        <v>2.6421450866405651</v>
      </c>
      <c r="M82" s="4">
        <v>2.6421450866405651</v>
      </c>
      <c r="N82" s="4">
        <v>2.6421450866405651</v>
      </c>
      <c r="O82" s="3">
        <v>2</v>
      </c>
      <c r="P82" s="4">
        <v>0.75788893482155173</v>
      </c>
    </row>
    <row r="83" spans="9:16">
      <c r="I83" t="s">
        <v>46</v>
      </c>
      <c r="J83" s="4">
        <v>0</v>
      </c>
      <c r="K83" s="4">
        <v>0.5712746133276897</v>
      </c>
      <c r="L83" s="4">
        <v>0.5712746133276897</v>
      </c>
      <c r="M83" s="4">
        <v>0.5712746133276897</v>
      </c>
      <c r="N83" s="4">
        <v>0.5712746133276897</v>
      </c>
      <c r="O83" s="3">
        <v>1</v>
      </c>
      <c r="P83" s="4">
        <v>0.37894446741077586</v>
      </c>
    </row>
    <row r="84" spans="9:16">
      <c r="I84" t="s">
        <v>47</v>
      </c>
      <c r="J84" s="4">
        <v>1</v>
      </c>
      <c r="K84" s="4">
        <v>0.5712746133276897</v>
      </c>
      <c r="L84" s="4">
        <v>0.5712746133276897</v>
      </c>
      <c r="M84" s="4">
        <v>0.5712746133276897</v>
      </c>
      <c r="N84" s="4">
        <v>0.5712746133276897</v>
      </c>
      <c r="O84" s="3">
        <v>1</v>
      </c>
      <c r="P84" s="4">
        <v>0.37894446741077586</v>
      </c>
    </row>
    <row r="85" spans="9:16">
      <c r="I85" t="s">
        <v>390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9:16">
      <c r="I86" t="s">
        <v>391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9:16">
      <c r="I87" t="s">
        <v>392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9:16">
      <c r="I88" t="s">
        <v>393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9:16">
      <c r="I89" t="s">
        <v>394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9:16">
      <c r="I90" t="s">
        <v>395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9:16">
      <c r="I91" t="s">
        <v>396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9:16">
      <c r="I92" t="s">
        <v>397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9:16">
      <c r="I93" t="s">
        <v>398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9:16">
      <c r="I94" t="s">
        <v>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9:16">
      <c r="I95" t="s">
        <v>400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9:16">
      <c r="I96" t="s">
        <v>401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config</vt:lpstr>
      <vt:lpstr>Requisiti_dc</vt:lpstr>
      <vt:lpstr>Requisiti_ps</vt:lpstr>
      <vt:lpstr>Requisiti_cmb</vt:lpstr>
      <vt:lpstr>Requisiti_psbo</vt:lpstr>
      <vt:lpstr>Turni</vt:lpstr>
      <vt:lpstr>Risorse</vt:lpstr>
      <vt:lpstr>storico</vt:lpstr>
      <vt:lpstr>settimana</vt:lpstr>
      <vt:lpstr>istru</vt:lpstr>
      <vt:lpstr>Foglio12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Wiliam De salvatore</dc:creator>
  <cp:lastModifiedBy>De Salvatore, Wiliam</cp:lastModifiedBy>
  <dcterms:created xsi:type="dcterms:W3CDTF">2015-06-05T18:19:34Z</dcterms:created>
  <dcterms:modified xsi:type="dcterms:W3CDTF">2026-02-06T08:51:00Z</dcterms:modified>
</cp:coreProperties>
</file>